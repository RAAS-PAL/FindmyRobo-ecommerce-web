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oftwareWorkSpace\ecommerce-raaspal\docs\"/>
    </mc:Choice>
  </mc:AlternateContent>
  <xr:revisionPtr revIDLastSave="0" documentId="13_ncr:1_{5DA9889E-C8BB-4EAA-BBB1-204ACBBA86D2}" xr6:coauthVersionLast="47" xr6:coauthVersionMax="47" xr10:uidLastSave="{00000000-0000-0000-0000-000000000000}"/>
  <bookViews>
    <workbookView xWindow="-28920" yWindow="660" windowWidth="29040" windowHeight="15720" activeTab="2" xr2:uid="{671B9E66-F748-4521-8C50-2828D06D052E}"/>
  </bookViews>
  <sheets>
    <sheet name="Dashboard" sheetId="1" r:id="rId1"/>
    <sheet name="Task Tracker" sheetId="2" r:id="rId2"/>
    <sheet name="Milestones" sheetId="3" r:id="rId3"/>
    <sheet name="Risks &amp; Issues" sheetId="4" r:id="rId4"/>
    <sheet name="Lis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3" l="1"/>
  <c r="I15" i="2"/>
  <c r="G15" i="2"/>
  <c r="I5" i="2"/>
  <c r="I6" i="2"/>
  <c r="I7" i="2"/>
  <c r="I8" i="2"/>
  <c r="I9" i="2"/>
  <c r="I10" i="2"/>
  <c r="I11" i="2"/>
  <c r="I12" i="2"/>
  <c r="I13" i="2"/>
  <c r="I14" i="2"/>
  <c r="I4" i="2"/>
  <c r="G5" i="3"/>
  <c r="C24" i="1" s="1"/>
  <c r="G6" i="3"/>
  <c r="C25" i="1" s="1"/>
  <c r="G7" i="3"/>
  <c r="C26" i="1" s="1"/>
  <c r="G8" i="3"/>
  <c r="C27" i="1" s="1"/>
  <c r="G9" i="3"/>
  <c r="C28" i="1" s="1"/>
  <c r="G4" i="3"/>
  <c r="C23" i="1" s="1"/>
  <c r="G5" i="2"/>
  <c r="G6" i="2"/>
  <c r="G7" i="2"/>
  <c r="G8" i="2"/>
  <c r="G9" i="2"/>
  <c r="G10" i="2"/>
  <c r="G11" i="2"/>
  <c r="G12" i="2"/>
  <c r="G13" i="2"/>
  <c r="G14" i="2"/>
  <c r="G4" i="2"/>
  <c r="A32" i="1" a="1"/>
  <c r="A32" i="1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B6" i="1"/>
  <c r="B16" i="1"/>
  <c r="B28" i="1"/>
  <c r="A28" i="1"/>
  <c r="B27" i="1"/>
  <c r="A27" i="1"/>
  <c r="B26" i="1"/>
  <c r="A26" i="1"/>
  <c r="B25" i="1"/>
  <c r="A25" i="1"/>
  <c r="B24" i="1"/>
  <c r="A24" i="1"/>
  <c r="A23" i="1"/>
  <c r="B23" i="1"/>
  <c r="B19" i="1"/>
  <c r="B18" i="1"/>
  <c r="B17" i="1"/>
  <c r="B15" i="1"/>
  <c r="A11" i="1"/>
  <c r="B7" i="1"/>
  <c r="D6" i="1"/>
  <c r="C17" i="1" l="1"/>
  <c r="C16" i="1"/>
  <c r="D7" i="1"/>
  <c r="C18" i="1"/>
  <c r="C19" i="1"/>
  <c r="C15" i="1"/>
  <c r="G11" i="1"/>
  <c r="E11" i="1"/>
  <c r="C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<sst xmlns="http://schemas.openxmlformats.org/spreadsheetml/2006/main" count="187" uniqueCount="109">
  <si>
    <t>PROJECT TASK TRACKER</t>
  </si>
  <si>
    <t>Update % Complete and dates below — Status updates automatically</t>
  </si>
  <si>
    <t>Task ID</t>
  </si>
  <si>
    <t>Task Name</t>
  </si>
  <si>
    <t>Phase</t>
  </si>
  <si>
    <t>Owner</t>
  </si>
  <si>
    <t>Start Date</t>
  </si>
  <si>
    <t>End Date</t>
  </si>
  <si>
    <t>Duration (Days)</t>
  </si>
  <si>
    <t>% Complete</t>
  </si>
  <si>
    <t>Status</t>
  </si>
  <si>
    <t>Notes</t>
  </si>
  <si>
    <t>Planning</t>
  </si>
  <si>
    <t>Design</t>
  </si>
  <si>
    <t>Development</t>
  </si>
  <si>
    <t>Testing</t>
  </si>
  <si>
    <t>Launch</t>
  </si>
  <si>
    <t>PROJECT MILESTONES</t>
  </si>
  <si>
    <t>Key deliverables and target dates — Status updates automatically</t>
  </si>
  <si>
    <t>ID</t>
  </si>
  <si>
    <t>Milestone</t>
  </si>
  <si>
    <t>Target Date</t>
  </si>
  <si>
    <t>Actual Date</t>
  </si>
  <si>
    <t>RISKS &amp; ISSUES LOG</t>
  </si>
  <si>
    <t>Track risks, severity, and mitigation plans</t>
  </si>
  <si>
    <t>Description</t>
  </si>
  <si>
    <t>Category</t>
  </si>
  <si>
    <t>Severity</t>
  </si>
  <si>
    <t>Likelihood</t>
  </si>
  <si>
    <t>Mitigation Plan</t>
  </si>
  <si>
    <t>Date Raised</t>
  </si>
  <si>
    <t>Scope</t>
  </si>
  <si>
    <t>High</t>
  </si>
  <si>
    <t>Likely</t>
  </si>
  <si>
    <t>Open</t>
  </si>
  <si>
    <t>Technical</t>
  </si>
  <si>
    <t>Medium</t>
  </si>
  <si>
    <t>Possible</t>
  </si>
  <si>
    <t>Monitoring</t>
  </si>
  <si>
    <t>PROJECT PROGRESS DASHBOARD</t>
  </si>
  <si>
    <t>PROJECT OVERVIEW</t>
  </si>
  <si>
    <t>Project Name:</t>
  </si>
  <si>
    <t>Project Manager:</t>
  </si>
  <si>
    <t>Start Date:</t>
  </si>
  <si>
    <t>Target End Date:</t>
  </si>
  <si>
    <t>Report Date:</t>
  </si>
  <si>
    <t>Days Remaining:</t>
  </si>
  <si>
    <t>KEY METRICS</t>
  </si>
  <si>
    <t>Overall Progress</t>
  </si>
  <si>
    <t>Tasks Completed</t>
  </si>
  <si>
    <t>Needs Attention</t>
  </si>
  <si>
    <t>Overall Status</t>
  </si>
  <si>
    <t>PROGRESS BY PHASE</t>
  </si>
  <si>
    <t>UPCOMING MILESTONES</t>
  </si>
  <si>
    <t>KEY RISKS (OPEN / MONITORING)</t>
  </si>
  <si>
    <t>Branny</t>
  </si>
  <si>
    <t>E-commerce RaasPal</t>
  </si>
  <si>
    <t>DATE PICKER SOURCE LIST</t>
  </si>
  <si>
    <t>Used by dropdown date-validation on other sheets — do not delete</t>
  </si>
  <si>
    <t>Calendar Dates</t>
  </si>
  <si>
    <t>Requirements, tech stack &amp; vendor selection</t>
  </si>
  <si>
    <t>Confirmed: Next.js, Supabase, Omise, Vercel, Sokochan</t>
  </si>
  <si>
    <t>Reference research &amp; PRD</t>
  </si>
  <si>
    <t>Robomate Australia used as the structural reference</t>
  </si>
  <si>
    <t>Brand rebrand &amp; design system</t>
  </si>
  <si>
    <t>CEO approved forest-green + gold theme (Jul 8)</t>
  </si>
  <si>
    <t>Storefront &amp; product-page UX design</t>
  </si>
  <si>
    <t>Hero category chips + product detail layout</t>
  </si>
  <si>
    <t>Storefront build (home, shop, product, search)</t>
  </si>
  <si>
    <t>Bilingual EN/TH, dark mode, product search</t>
  </si>
  <si>
    <t>Cart, checkout &amp; server-side orders</t>
  </si>
  <si>
    <t>Server reprices every line; guest checkout supported</t>
  </si>
  <si>
    <t>Auth, customer accounts &amp; admin panel</t>
  </si>
  <si>
    <t>Supabase auth; product CRUD, orders dashboard, hide/show</t>
  </si>
  <si>
    <t>Payment integration (Omise / Opn)</t>
  </si>
  <si>
    <t>Card+3DS+webhook built; PAUSED for Omise account. Contact-to-pay live</t>
  </si>
  <si>
    <t>QA, i18n &amp; launch hardening (SEO, legal, branding)</t>
  </si>
  <si>
    <t>Sitemap/robots/OG, PDPA legal pages, favicon</t>
  </si>
  <si>
    <t>Production deployment &amp; go-live</t>
  </si>
  <si>
    <t>Deploy to Vercel with live keys; register webhook</t>
  </si>
  <si>
    <t>Requirements &amp; scope sign-off</t>
  </si>
  <si>
    <t>Tech stack + PRD approved</t>
  </si>
  <si>
    <t>Design system &amp; rebrand approved</t>
  </si>
  <si>
    <t>Forest-green + gold; CEO sign-off</t>
  </si>
  <si>
    <t>Storefront + checkout feature-complete</t>
  </si>
  <si>
    <t>Cart, checkout, server-side orders working</t>
  </si>
  <si>
    <t>Admin panel + orders management done</t>
  </si>
  <si>
    <t>Products, orders dashboard, visibility toggle</t>
  </si>
  <si>
    <t>Payment integration live (Omise)</t>
  </si>
  <si>
    <t>Blocked on Omise merchant-account approval</t>
  </si>
  <si>
    <t>Production launch / Go-live</t>
  </si>
  <si>
    <t>Public launch to customers</t>
  </si>
  <si>
    <t>Omise/Opn merchant account not yet approved — blocks online card &amp; PromptPay payments</t>
  </si>
  <si>
    <t>Finish Omise signup; test keys unblock build; interim contact-to-pay flow already live</t>
  </si>
  <si>
    <t>Legal/policy pages missing (PDPA Privacy, Terms, Refund, Shipping)</t>
  </si>
  <si>
    <t>Compliance</t>
  </si>
  <si>
    <t>Draft policy pages before launch; required for PDPA &amp; Omise approval</t>
  </si>
  <si>
    <t>Sokochan fulfilment API not yet integrated — fulfilment manual at launch</t>
  </si>
  <si>
    <t>Manual fulfilment interim; schedule Sokochan integration post-MVP</t>
  </si>
  <si>
    <t>SEO &amp; branding assets incomplete (sitemap, robots, OG tags, favicon)</t>
  </si>
  <si>
    <t>Batch SEO/branding task before go-live</t>
  </si>
  <si>
    <t>Brand name not finalized — affects domain, meta, logo, legal entity</t>
  </si>
  <si>
    <t>Business</t>
  </si>
  <si>
    <t>CEO to confirm final brand name</t>
  </si>
  <si>
    <t>Sokochan API Integration</t>
  </si>
  <si>
    <t>Integrate with fulfillment company's api so that the ordering function is smooth after customer checkout</t>
  </si>
  <si>
    <t>TBD</t>
  </si>
  <si>
    <t>Prepared for Directors' Review</t>
  </si>
  <si>
    <t>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</si>
</sst>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9"/>
      <color rgb="FF6B72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B7280"/>
      <name val="Aptos Narrow"/>
      <family val="2"/>
      <scheme val="minor"/>
    </font>
    <font>
      <b/>
      <sz val="22"/>
      <color rgb="FF2563EB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i/>
      <sz val="11"/>
      <color rgb="FFB4530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EF3C7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9CA3AF"/>
      </top>
      <bottom/>
      <diagonal/>
    </border>
    <border>
      <left/>
      <right/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/>
      <bottom style="thin">
        <color rgb="FF9CA3A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0" fontId="1" fillId="4" borderId="0" xfId="0" applyFont="1" applyFill="1"/>
    <xf numFmtId="0" fontId="1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0" fillId="0" borderId="7" xfId="0" applyBorder="1"/>
    <xf numFmtId="9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7" xfId="0" applyFont="1" applyBorder="1"/>
    <xf numFmtId="0" fontId="5" fillId="0" borderId="7" xfId="0" applyFont="1" applyBorder="1"/>
    <xf numFmtId="164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wrapText="1"/>
    </xf>
    <xf numFmtId="0" fontId="11" fillId="2" borderId="0" xfId="0" applyFont="1" applyFill="1"/>
    <xf numFmtId="0" fontId="2" fillId="2" borderId="0" xfId="0" applyFont="1" applyFill="1"/>
    <xf numFmtId="0" fontId="3" fillId="0" borderId="0" xfId="0" applyFont="1"/>
    <xf numFmtId="0" fontId="7" fillId="2" borderId="0" xfId="0" applyFont="1" applyFill="1"/>
    <xf numFmtId="0" fontId="8" fillId="0" borderId="0" xfId="0" applyFont="1"/>
    <xf numFmtId="0" fontId="4" fillId="3" borderId="7" xfId="0" applyFont="1" applyFill="1" applyBorder="1"/>
    <xf numFmtId="0" fontId="4" fillId="3" borderId="0" xfId="0" applyFont="1" applyFill="1"/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wrapText="1"/>
    </xf>
    <xf numFmtId="49" fontId="12" fillId="5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55"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7415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3" formatCode="0%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mm/d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mm/d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2563E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2563E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2563E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2563E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2563EB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16A34A"/>
        </patternFill>
      </fill>
    </dxf>
    <dxf>
      <font>
        <b/>
        <i val="0"/>
        <color rgb="FFFFFFFF"/>
      </font>
      <fill>
        <patternFill patternType="solid">
          <fgColor indexed="64"/>
          <bgColor rgb="FFF59E0B"/>
        </patternFill>
      </fill>
    </dxf>
    <dxf>
      <font>
        <b/>
        <i val="0"/>
        <color rgb="FFFFFFFF"/>
      </font>
      <fill>
        <patternFill patternType="solid">
          <fgColor indexed="64"/>
          <bgColor rgb="FFDC262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mm/d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7415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mm/d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7415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0CA78-471F-4D7F-B244-BED87F071D88}" name="TaskTracker" displayName="TaskTracker" ref="A3:J15" totalsRowShown="0" headerRowDxfId="6" dataDxfId="5">
  <autoFilter ref="A3:J15" xr:uid="{5DC0CA78-471F-4D7F-B244-BED87F071D88}"/>
  <tableColumns count="10">
    <tableColumn id="1" xr3:uid="{33750BD8-5F5C-47D8-ACD1-FAA7AB27D424}" name="Task ID" dataDxfId="4"/>
    <tableColumn id="2" xr3:uid="{74753E78-004D-45C2-A014-F23EBEF532D3}" name="Task Name" dataDxfId="2"/>
    <tableColumn id="3" xr3:uid="{778BC990-4946-4573-A511-D17CEF59D365}" name="Phase" dataDxfId="3"/>
    <tableColumn id="4" xr3:uid="{C1F5B5B6-AC02-40B0-9A14-ECA312071137}" name="Owner" dataDxfId="11"/>
    <tableColumn id="5" xr3:uid="{A83DEA9D-6F6C-4E51-B69D-D7338EBD0F3C}" name="Start Date" dataDxfId="10"/>
    <tableColumn id="6" xr3:uid="{CDD59B3E-A086-4DAD-B232-0EFD4E9D4817}" name="End Date" dataDxfId="9"/>
    <tableColumn id="7" xr3:uid="{A6ACF7C1-065C-4DBC-B51A-86351C58C135}" name="Duration (Days)" dataDxfId="8">
      <calculatedColumnFormula>IF(OR(NOT(ISNUMBER(E4)),NOT(ISNUMBER(F4))),"TBD",F4-E4+1)</calculatedColumnFormula>
    </tableColumn>
    <tableColumn id="8" xr3:uid="{C300DA7B-52C3-44C2-83D8-6AFD8DEE54BD}" name="% Complete" dataDxfId="7"/>
    <tableColumn id="9" xr3:uid="{30EC3AC6-E618-46EC-972F-1B4C3A7F1DDE}" name="Status" dataDxfId="1">
      <calculatedColumnFormula>IF(H4=1,"Complete",IF(NOT(ISNUMBER(F4)),"Unscheduled",IF(AND(F4&lt;TODAY(),H4&lt;1),"Delayed",IF((F4-TODAY())&lt;=3,"At Risk","On Track"))))</calculatedColumnFormula>
    </tableColumn>
    <tableColumn id="10" xr3:uid="{B13DC6A8-41CC-41A3-B6B7-9C409D11252F}" name="No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08713F-545E-4D19-8D50-2E4B3029860A}" name="Milestones" displayName="Milestones" ref="A3:H10" totalsRowShown="0" headerRowDxfId="54">
  <autoFilter ref="A3:H10" xr:uid="{7708713F-545E-4D19-8D50-2E4B3029860A}"/>
  <tableColumns count="8">
    <tableColumn id="1" xr3:uid="{B36CF4AD-8B18-4508-BD0B-942D46DFDEBA}" name="ID"/>
    <tableColumn id="2" xr3:uid="{CD16AB4F-FC18-4EE8-BA13-DA2C9D2EC90D}" name="Milestone"/>
    <tableColumn id="3" xr3:uid="{899A37E1-21DF-4E07-A1AA-FB14D0F7B3ED}" name="Phase"/>
    <tableColumn id="4" xr3:uid="{072D125C-C485-4237-8F36-26496574F3C3}" name="Target Date" dataDxfId="53"/>
    <tableColumn id="5" xr3:uid="{BBB4580A-DB70-47D7-80B4-9124143FC0CB}" name="Actual Date" dataDxfId="52"/>
    <tableColumn id="6" xr3:uid="{65BCB96D-425D-4BD7-9A73-9F1BAA7B7A7C}" name="Owner" dataDxfId="51"/>
    <tableColumn id="7" xr3:uid="{8E3DF482-B732-44A5-81B2-06EB0EC4F77B}" name="Status" dataDxfId="12">
      <calculatedColumnFormula>IF(E4&lt;&gt;"","Complete",IF(NOT(ISNUMBER(D4)),"Unscheduled",IF(D4&lt;TODAY(),"Delayed",IF((D4-TODAY())&lt;=7,"At Risk","On Track"))))</calculatedColumnFormula>
    </tableColumn>
    <tableColumn id="8" xr3:uid="{ABA2AA9A-A842-4F94-99B0-F1912F624276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8A2144-A370-4E20-943E-57D21EB1143B}" name="RisksLog" displayName="RisksLog" ref="A3:I8" totalsRowShown="0" headerRowDxfId="50">
  <autoFilter ref="A3:I8" xr:uid="{DE8A2144-A370-4E20-943E-57D21EB1143B}"/>
  <tableColumns count="9">
    <tableColumn id="1" xr3:uid="{13982167-D512-4040-B1BE-6FFA4BE9A009}" name="ID"/>
    <tableColumn id="2" xr3:uid="{CDF44439-0C31-4713-8C90-BF6AEC8D5FA6}" name="Description"/>
    <tableColumn id="3" xr3:uid="{DC462B9A-8B41-4DE8-8CDA-D2015537D11E}" name="Category"/>
    <tableColumn id="4" xr3:uid="{AB04C57D-4163-4DA5-A350-B23CB43DD5B6}" name="Severity" dataDxfId="49"/>
    <tableColumn id="5" xr3:uid="{CFDD2F77-EB5A-45EA-9759-19A40ED9A670}" name="Likelihood" dataDxfId="48"/>
    <tableColumn id="6" xr3:uid="{66F12800-D0A5-4086-B86C-ED8473949B5E}" name="Owner" dataDxfId="47"/>
    <tableColumn id="7" xr3:uid="{88FFAE15-FA85-4BD4-A304-904F76E95FC8}" name="Mitigation Plan"/>
    <tableColumn id="8" xr3:uid="{37932DD0-23F2-4B58-9E45-7F3F286C1D77}" name="Status" dataDxfId="46"/>
    <tableColumn id="9" xr3:uid="{83C41E19-2BAE-4127-8797-447972D856E3}" name="Date Raised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AC71A4-1B20-4435-80ED-057007269B1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5d29596-9374-4492-b906-26c223a72f5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D836-7ABC-4B9B-9105-AE892EFC37F1}">
  <dimension ref="A1:H36"/>
  <sheetViews>
    <sheetView topLeftCell="A9" workbookViewId="0">
      <selection activeCell="A2" sqref="A2:H2"/>
    </sheetView>
  </sheetViews>
  <sheetFormatPr defaultRowHeight="14.5" x14ac:dyDescent="0.35"/>
  <cols>
    <col min="1" max="1" width="40.36328125" customWidth="1"/>
    <col min="2" max="2" width="25.453125" customWidth="1"/>
    <col min="3" max="4" width="23.6328125" customWidth="1"/>
    <col min="5" max="8" width="16.36328125" customWidth="1"/>
  </cols>
  <sheetData>
    <row r="1" spans="1:8" ht="28" customHeight="1" x14ac:dyDescent="0.55000000000000004">
      <c r="A1" s="26" t="s">
        <v>39</v>
      </c>
      <c r="B1" s="26"/>
      <c r="C1" s="26"/>
      <c r="D1" s="26"/>
      <c r="E1" s="26"/>
      <c r="F1" s="26"/>
      <c r="G1" s="26"/>
      <c r="H1" s="26"/>
    </row>
    <row r="2" spans="1:8" x14ac:dyDescent="0.35">
      <c r="A2" s="27" t="s">
        <v>107</v>
      </c>
      <c r="B2" s="27"/>
      <c r="C2" s="27"/>
      <c r="D2" s="27"/>
      <c r="E2" s="27"/>
      <c r="F2" s="27"/>
      <c r="G2" s="27"/>
      <c r="H2" s="27"/>
    </row>
    <row r="4" spans="1:8" x14ac:dyDescent="0.35">
      <c r="A4" s="28" t="s">
        <v>40</v>
      </c>
      <c r="B4" s="28"/>
      <c r="C4" s="28"/>
      <c r="D4" s="28"/>
      <c r="E4" s="29"/>
      <c r="F4" s="29"/>
      <c r="G4" s="29"/>
      <c r="H4" s="29"/>
    </row>
    <row r="5" spans="1:8" x14ac:dyDescent="0.35">
      <c r="A5" s="18" t="s">
        <v>41</v>
      </c>
      <c r="B5" s="19" t="s">
        <v>56</v>
      </c>
      <c r="C5" s="18" t="s">
        <v>42</v>
      </c>
      <c r="D5" s="19" t="s">
        <v>55</v>
      </c>
    </row>
    <row r="6" spans="1:8" x14ac:dyDescent="0.35">
      <c r="A6" s="18" t="s">
        <v>43</v>
      </c>
      <c r="B6" s="20">
        <f>MIN(TaskTracker[Start Date])</f>
        <v>46205</v>
      </c>
      <c r="C6" s="18" t="s">
        <v>44</v>
      </c>
      <c r="D6" s="20">
        <f>MAX(TaskTracker[End Date])</f>
        <v>46248</v>
      </c>
    </row>
    <row r="7" spans="1:8" x14ac:dyDescent="0.35">
      <c r="A7" s="18" t="s">
        <v>45</v>
      </c>
      <c r="B7" s="20">
        <f ca="1">TODAY()</f>
        <v>46224</v>
      </c>
      <c r="C7" s="18" t="s">
        <v>46</v>
      </c>
      <c r="D7" s="21">
        <f ca="1">D6-B7</f>
        <v>24</v>
      </c>
    </row>
    <row r="9" spans="1:8" x14ac:dyDescent="0.35">
      <c r="A9" s="29" t="s">
        <v>47</v>
      </c>
      <c r="B9" s="29"/>
      <c r="C9" s="29"/>
      <c r="D9" s="29"/>
      <c r="E9" s="29"/>
      <c r="F9" s="29"/>
      <c r="G9" s="29"/>
      <c r="H9" s="29"/>
    </row>
    <row r="10" spans="1:8" x14ac:dyDescent="0.35">
      <c r="A10" s="30" t="s">
        <v>48</v>
      </c>
      <c r="B10" s="31"/>
      <c r="C10" s="30" t="s">
        <v>49</v>
      </c>
      <c r="D10" s="31"/>
      <c r="E10" s="30" t="s">
        <v>50</v>
      </c>
      <c r="F10" s="31"/>
      <c r="G10" s="30" t="s">
        <v>51</v>
      </c>
      <c r="H10" s="32"/>
    </row>
    <row r="11" spans="1:8" ht="32" customHeight="1" x14ac:dyDescent="0.65">
      <c r="A11" s="33">
        <f>AVERAGE(TaskTracker[% Complete])</f>
        <v>0.70833333333333348</v>
      </c>
      <c r="B11" s="34"/>
      <c r="C11" s="35" t="str">
        <f ca="1">COUNTIF(TaskTracker[Status],"Complete")&amp;" / "&amp;COUNTA(TaskTracker[Task ID])</f>
        <v>7 / 12</v>
      </c>
      <c r="D11" s="36"/>
      <c r="E11" s="35">
        <f ca="1">COUNTIF(TaskTracker[Status],"At Risk")+COUNTIF(TaskTracker[Status],"Delayed")</f>
        <v>0</v>
      </c>
      <c r="F11" s="36"/>
      <c r="G11" s="37" t="str">
        <f ca="1">IF(COUNTIF(TaskTracker[Status],"Delayed")&gt;0,"Delayed",IF(COUNTIF(TaskTracker[Status],"At Risk")&gt;0,"At Risk",IF(COUNTIF(TaskTracker[Status],"Complete")=COUNTA(TaskTracker[Task ID]),"Complete","On Track")))</f>
        <v>On Track</v>
      </c>
      <c r="H11" s="38"/>
    </row>
    <row r="13" spans="1:8" x14ac:dyDescent="0.35">
      <c r="A13" s="29" t="s">
        <v>52</v>
      </c>
      <c r="B13" s="29"/>
      <c r="C13" s="29"/>
      <c r="D13" s="29"/>
      <c r="E13" s="29"/>
      <c r="F13" s="29"/>
      <c r="G13" s="29"/>
      <c r="H13" s="29"/>
    </row>
    <row r="14" spans="1:8" x14ac:dyDescent="0.35">
      <c r="A14" s="12" t="s">
        <v>4</v>
      </c>
      <c r="B14" s="13" t="s">
        <v>9</v>
      </c>
      <c r="C14" s="13" t="s">
        <v>10</v>
      </c>
    </row>
    <row r="15" spans="1:8" x14ac:dyDescent="0.35">
      <c r="A15" s="14" t="s">
        <v>12</v>
      </c>
      <c r="B15" s="15">
        <f>AVERAGEIF(TaskTracker[Phase],A15,TaskTracker[% Complete])</f>
        <v>1</v>
      </c>
      <c r="C15" s="16" t="str">
        <f ca="1">IF(COUNTIFS(TaskTracker[Phase],A15,TaskTracker[Status],"Delayed")&gt;0,"Delayed",IF(COUNTIFS(TaskTracker[Phase],A15,TaskTracker[Status],"At Risk")&gt;0,"At Risk",IF(B15=1,"Complete","On Track")))</f>
        <v>Complete</v>
      </c>
    </row>
    <row r="16" spans="1:8" x14ac:dyDescent="0.35">
      <c r="A16" s="14" t="s">
        <v>13</v>
      </c>
      <c r="B16" s="15">
        <f>AVERAGEIF(TaskTracker[Phase],A16,TaskTracker[% Complete])</f>
        <v>1</v>
      </c>
      <c r="C16" s="16" t="str">
        <f ca="1">IF(COUNTIFS(TaskTracker[Phase],A16,TaskTracker[Status],"Delayed")&gt;0,"Delayed",IF(COUNTIFS(TaskTracker[Phase],A16,TaskTracker[Status],"At Risk")&gt;0,"At Risk",IF(B16=1,"Complete","On Track")))</f>
        <v>Complete</v>
      </c>
    </row>
    <row r="17" spans="1:8" x14ac:dyDescent="0.35">
      <c r="A17" s="14" t="s">
        <v>14</v>
      </c>
      <c r="B17" s="15">
        <f>AVERAGEIF(TaskTracker[Phase],A17,TaskTracker[% Complete])</f>
        <v>0.84000000000000008</v>
      </c>
      <c r="C17" s="16" t="str">
        <f ca="1">IF(COUNTIFS(TaskTracker[Phase],A17,TaskTracker[Status],"Delayed")&gt;0,"Delayed",IF(COUNTIFS(TaskTracker[Phase],A17,TaskTracker[Status],"At Risk")&gt;0,"At Risk",IF(B17=1,"Complete","On Track")))</f>
        <v>On Track</v>
      </c>
    </row>
    <row r="18" spans="1:8" x14ac:dyDescent="0.35">
      <c r="A18" s="14" t="s">
        <v>15</v>
      </c>
      <c r="B18" s="15">
        <f>AVERAGEIF(TaskTracker[Phase],A18,TaskTracker[% Complete])</f>
        <v>0.125</v>
      </c>
      <c r="C18" s="16" t="str">
        <f ca="1">IF(COUNTIFS(TaskTracker[Phase],A18,TaskTracker[Status],"Delayed")&gt;0,"Delayed",IF(COUNTIFS(TaskTracker[Phase],A18,TaskTracker[Status],"At Risk")&gt;0,"At Risk",IF(B18=1,"Complete","On Track")))</f>
        <v>On Track</v>
      </c>
    </row>
    <row r="19" spans="1:8" x14ac:dyDescent="0.35">
      <c r="A19" s="14" t="s">
        <v>16</v>
      </c>
      <c r="B19" s="15">
        <f>AVERAGEIF(TaskTracker[Phase],A19,TaskTracker[% Complete])</f>
        <v>0.05</v>
      </c>
      <c r="C19" s="16" t="str">
        <f ca="1">IF(COUNTIFS(TaskTracker[Phase],A19,TaskTracker[Status],"Delayed")&gt;0,"Delayed",IF(COUNTIFS(TaskTracker[Phase],A19,TaskTracker[Status],"At Risk")&gt;0,"At Risk",IF(B19=1,"Complete","On Track")))</f>
        <v>On Track</v>
      </c>
    </row>
    <row r="21" spans="1:8" x14ac:dyDescent="0.35">
      <c r="A21" s="29" t="s">
        <v>53</v>
      </c>
      <c r="B21" s="29"/>
      <c r="C21" s="29"/>
      <c r="D21" s="29"/>
      <c r="E21" s="29"/>
      <c r="F21" s="29"/>
      <c r="G21" s="29"/>
      <c r="H21" s="29"/>
    </row>
    <row r="22" spans="1:8" x14ac:dyDescent="0.35">
      <c r="A22" s="12" t="s">
        <v>20</v>
      </c>
      <c r="B22" s="13" t="s">
        <v>21</v>
      </c>
      <c r="C22" s="13" t="s">
        <v>10</v>
      </c>
    </row>
    <row r="23" spans="1:8" x14ac:dyDescent="0.35">
      <c r="A23" s="14" t="str">
        <f>INDEX(Milestones[Milestone],1)</f>
        <v>Requirements &amp; scope sign-off</v>
      </c>
      <c r="B23" s="17">
        <f>INDEX(Milestones[Target Date],1)</f>
        <v>46193</v>
      </c>
      <c r="C23" s="16" t="str">
        <f ca="1">INDEX(Milestones[Status],1)</f>
        <v>Complete</v>
      </c>
    </row>
    <row r="24" spans="1:8" x14ac:dyDescent="0.35">
      <c r="A24" s="14" t="str">
        <f>INDEX(Milestones[Milestone],2)</f>
        <v>Design system &amp; rebrand approved</v>
      </c>
      <c r="B24" s="17">
        <f>INDEX(Milestones[Target Date],2)</f>
        <v>46211</v>
      </c>
      <c r="C24" s="16" t="str">
        <f ca="1">INDEX(Milestones[Status],2)</f>
        <v>Complete</v>
      </c>
    </row>
    <row r="25" spans="1:8" x14ac:dyDescent="0.35">
      <c r="A25" s="14" t="str">
        <f>INDEX(Milestones[Milestone],3)</f>
        <v>Storefront + checkout feature-complete</v>
      </c>
      <c r="B25" s="17">
        <f>INDEX(Milestones[Target Date],3)</f>
        <v>46223</v>
      </c>
      <c r="C25" s="16" t="str">
        <f ca="1">INDEX(Milestones[Status],3)</f>
        <v>Complete</v>
      </c>
    </row>
    <row r="26" spans="1:8" x14ac:dyDescent="0.35">
      <c r="A26" s="14" t="str">
        <f>INDEX(Milestones[Milestone],4)</f>
        <v>Admin panel + orders management done</v>
      </c>
      <c r="B26" s="17">
        <f>INDEX(Milestones[Target Date],4)</f>
        <v>46228</v>
      </c>
      <c r="C26" s="16" t="str">
        <f ca="1">INDEX(Milestones[Status],4)</f>
        <v>Complete</v>
      </c>
    </row>
    <row r="27" spans="1:8" x14ac:dyDescent="0.35">
      <c r="A27" s="14" t="str">
        <f>INDEX(Milestones[Milestone],5)</f>
        <v>Payment integration live (Omise)</v>
      </c>
      <c r="B27" s="17">
        <f>INDEX(Milestones[Target Date],5)</f>
        <v>46249</v>
      </c>
      <c r="C27" s="16" t="str">
        <f ca="1">INDEX(Milestones[Status],5)</f>
        <v>On Track</v>
      </c>
    </row>
    <row r="28" spans="1:8" x14ac:dyDescent="0.35">
      <c r="A28" s="14" t="str">
        <f>INDEX(Milestones[Milestone],6)</f>
        <v>Production launch / Go-live</v>
      </c>
      <c r="B28" s="17">
        <f>INDEX(Milestones[Target Date],6)</f>
        <v>46295</v>
      </c>
      <c r="C28" s="16" t="str">
        <f ca="1">INDEX(Milestones[Status],6)</f>
        <v>On Track</v>
      </c>
    </row>
    <row r="30" spans="1:8" x14ac:dyDescent="0.35">
      <c r="A30" s="29" t="s">
        <v>54</v>
      </c>
      <c r="B30" s="29"/>
      <c r="C30" s="29"/>
      <c r="D30" s="29"/>
      <c r="E30" s="29"/>
      <c r="F30" s="29"/>
      <c r="G30" s="29"/>
      <c r="H30" s="29"/>
    </row>
    <row r="31" spans="1:8" x14ac:dyDescent="0.35">
      <c r="A31" s="12" t="s">
        <v>25</v>
      </c>
      <c r="B31" s="13" t="s">
        <v>27</v>
      </c>
      <c r="C31" s="13" t="s">
        <v>10</v>
      </c>
    </row>
    <row r="32" spans="1:8" ht="45" customHeight="1" x14ac:dyDescent="0.35">
      <c r="A32" s="22" t="str" cm="1">
        <f t="array" ref="A32:C36">IFERROR(_xlfn.HSTACK(_xlfn._xlws.FILTER(RisksLog[Description],RisksLog[Status]&lt;&gt;"Closed"),_xlfn._xlws.FILTER(RisksLog[Severity],RisksLog[Status]&lt;&gt;"Closed"),_xlfn._xlws.FILTER(RisksLog[Status],RisksLog[Status]&lt;&gt;"Closed")),"No open risks")</f>
        <v>Omise/Opn merchant account not yet approved — blocks online card &amp; PromptPay payments</v>
      </c>
      <c r="B32" s="14" t="str">
        <v>High</v>
      </c>
      <c r="C32" s="14" t="str">
        <v>Open</v>
      </c>
    </row>
    <row r="33" spans="1:3" ht="30" customHeight="1" x14ac:dyDescent="0.35">
      <c r="A33" s="22" t="str">
        <v>Legal/policy pages missing (PDPA Privacy, Terms, Refund, Shipping)</v>
      </c>
      <c r="B33" s="14" t="str">
        <v>High</v>
      </c>
      <c r="C33" s="14" t="str">
        <v>Open</v>
      </c>
    </row>
    <row r="34" spans="1:3" ht="30" customHeight="1" x14ac:dyDescent="0.35">
      <c r="A34" s="22" t="str">
        <v>Sokochan fulfilment API not yet integrated — fulfilment manual at launch</v>
      </c>
      <c r="B34" s="14" t="str">
        <v>Medium</v>
      </c>
      <c r="C34" s="14" t="str">
        <v>Monitoring</v>
      </c>
    </row>
    <row r="35" spans="1:3" ht="30" customHeight="1" x14ac:dyDescent="0.35">
      <c r="A35" s="22" t="str">
        <v>SEO &amp; branding assets incomplete (sitemap, robots, OG tags, favicon)</v>
      </c>
      <c r="B35" s="14" t="str">
        <v>Medium</v>
      </c>
      <c r="C35" s="14" t="str">
        <v>Open</v>
      </c>
    </row>
    <row r="36" spans="1:3" ht="30" customHeight="1" x14ac:dyDescent="0.35">
      <c r="A36" s="22" t="str">
        <v>Brand name not finalized — affects domain, meta, logo, legal entity</v>
      </c>
      <c r="B36" s="14" t="str">
        <v>Medium</v>
      </c>
      <c r="C36" s="14" t="str">
        <v>Monitoring</v>
      </c>
    </row>
  </sheetData>
  <mergeCells count="15">
    <mergeCell ref="A30:H30"/>
    <mergeCell ref="A11:B11"/>
    <mergeCell ref="C11:D11"/>
    <mergeCell ref="E11:F11"/>
    <mergeCell ref="G11:H11"/>
    <mergeCell ref="A13:H13"/>
    <mergeCell ref="A21:H21"/>
    <mergeCell ref="A1:H1"/>
    <mergeCell ref="A2:H2"/>
    <mergeCell ref="A4:H4"/>
    <mergeCell ref="A9:H9"/>
    <mergeCell ref="A10:B10"/>
    <mergeCell ref="C10:D10"/>
    <mergeCell ref="E10:F10"/>
    <mergeCell ref="G10:H10"/>
  </mergeCells>
  <conditionalFormatting sqref="B15:B19">
    <cfRule type="dataBar" priority="19">
      <dataBar>
        <cfvo type="min"/>
        <cfvo type="num" val="1"/>
        <color rgb="FF93C5FD"/>
      </dataBar>
      <extLst>
        <ext xmlns:x14="http://schemas.microsoft.com/office/spreadsheetml/2009/9/main" uri="{B025F937-C7B1-47D3-B67F-A62EFF666E3E}">
          <x14:id>{2938068C-7BA8-42FE-8E79-54F1E25DB2EF}</x14:id>
        </ext>
      </extLst>
    </cfRule>
  </conditionalFormatting>
  <conditionalFormatting sqref="B32:B40">
    <cfRule type="expression" dxfId="44" priority="16">
      <formula>$B32="High"</formula>
    </cfRule>
    <cfRule type="expression" dxfId="43" priority="17">
      <formula>$B32="Medium"</formula>
    </cfRule>
    <cfRule type="expression" dxfId="42" priority="18">
      <formula>$B32="Low"</formula>
    </cfRule>
  </conditionalFormatting>
  <conditionalFormatting sqref="C15:C19">
    <cfRule type="expression" dxfId="41" priority="5">
      <formula>$C15="Complete"</formula>
    </cfRule>
    <cfRule type="expression" dxfId="40" priority="6">
      <formula>$C15="On Track"</formula>
    </cfRule>
    <cfRule type="expression" dxfId="39" priority="7">
      <formula>$C15="At Risk"</formula>
    </cfRule>
    <cfRule type="expression" dxfId="38" priority="8">
      <formula>$C15="Delayed"</formula>
    </cfRule>
  </conditionalFormatting>
  <conditionalFormatting sqref="C23:C28">
    <cfRule type="expression" dxfId="37" priority="9">
      <formula>$C23="Complete"</formula>
    </cfRule>
    <cfRule type="expression" dxfId="36" priority="10">
      <formula>$C23="On Track"</formula>
    </cfRule>
    <cfRule type="expression" dxfId="35" priority="11">
      <formula>$C23="At Risk"</formula>
    </cfRule>
    <cfRule type="expression" dxfId="34" priority="12">
      <formula>$C23="Delayed"</formula>
    </cfRule>
  </conditionalFormatting>
  <conditionalFormatting sqref="C32:C40">
    <cfRule type="expression" dxfId="33" priority="13">
      <formula>$C32="Open"</formula>
    </cfRule>
    <cfRule type="expression" dxfId="32" priority="14">
      <formula>$C32="Monitoring"</formula>
    </cfRule>
    <cfRule type="expression" dxfId="31" priority="15">
      <formula>$C32="Closed"</formula>
    </cfRule>
  </conditionalFormatting>
  <conditionalFormatting sqref="G11:H11">
    <cfRule type="expression" dxfId="30" priority="1">
      <formula>$G11="Complete"</formula>
    </cfRule>
    <cfRule type="expression" dxfId="29" priority="2">
      <formula>$G11="On Track"</formula>
    </cfRule>
    <cfRule type="expression" dxfId="28" priority="3">
      <formula>$G11="At Risk"</formula>
    </cfRule>
    <cfRule type="expression" dxfId="27" priority="4">
      <formula>$G11="Delayed"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38068C-7BA8-42FE-8E79-54F1E25DB2EF}">
            <x14:dataBar minLength="0" maxLength="100" negativeBarColorSameAsPositive="1" axisPosition="none">
              <x14:cfvo type="min"/>
              <x14:cfvo type="num">
                <xm:f>1</xm:f>
              </x14:cfvo>
            </x14:dataBar>
          </x14:cfRule>
          <xm:sqref>B15:B19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1775-B5B7-4672-B6BD-A763EBF73162}">
  <dimension ref="A1:J21"/>
  <sheetViews>
    <sheetView workbookViewId="0">
      <pane ySplit="3" topLeftCell="A4" activePane="bottomLeft" state="frozen"/>
      <selection pane="bottomLeft" activeCell="G25" sqref="G25"/>
    </sheetView>
  </sheetViews>
  <sheetFormatPr defaultRowHeight="14.5" x14ac:dyDescent="0.35"/>
  <cols>
    <col min="1" max="1" width="10" style="42" customWidth="1"/>
    <col min="2" max="2" width="43.54296875" style="42" customWidth="1"/>
    <col min="3" max="6" width="16.36328125" style="42" customWidth="1"/>
    <col min="7" max="7" width="18.1796875" style="42" customWidth="1"/>
    <col min="8" max="8" width="16.36328125" style="42" customWidth="1"/>
    <col min="9" max="9" width="18.1796875" style="42" customWidth="1"/>
    <col min="10" max="10" width="48.7265625" style="42" customWidth="1"/>
    <col min="11" max="16384" width="8.7265625" style="42"/>
  </cols>
  <sheetData>
    <row r="1" spans="1:10" ht="26" customHeight="1" x14ac:dyDescent="0.3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x14ac:dyDescent="0.3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35">
      <c r="A3" s="41" t="s">
        <v>2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8</v>
      </c>
      <c r="H3" s="41" t="s">
        <v>9</v>
      </c>
      <c r="I3" s="41" t="s">
        <v>10</v>
      </c>
      <c r="J3" s="41" t="s">
        <v>11</v>
      </c>
    </row>
    <row r="4" spans="1:10" x14ac:dyDescent="0.35">
      <c r="A4" s="45">
        <v>1</v>
      </c>
      <c r="B4" s="47" t="s">
        <v>60</v>
      </c>
      <c r="C4" s="45" t="s">
        <v>12</v>
      </c>
      <c r="D4" s="48" t="s">
        <v>55</v>
      </c>
      <c r="E4" s="49">
        <v>46205</v>
      </c>
      <c r="F4" s="49">
        <v>46207</v>
      </c>
      <c r="G4" s="45">
        <f t="shared" ref="G4:G14" si="0">IF(OR(NOT(ISNUMBER(E4)),NOT(ISNUMBER(F4))),"TBD",F4-E4+1)</f>
        <v>3</v>
      </c>
      <c r="H4" s="50">
        <v>1</v>
      </c>
      <c r="I4" s="51" t="str">
        <f t="shared" ref="I4:I14" ca="1" si="1">IF(H4=1,"Complete",IF(NOT(ISNUMBER(F4)),"Unscheduled",IF(AND(F4&lt;TODAY(),H4&lt;1),"Delayed",IF((F4-TODAY())&lt;=3,"At Risk","On Track"))))</f>
        <v>Complete</v>
      </c>
      <c r="J4" s="47" t="s">
        <v>61</v>
      </c>
    </row>
    <row r="5" spans="1:10" x14ac:dyDescent="0.35">
      <c r="A5" s="45">
        <v>2</v>
      </c>
      <c r="B5" s="47" t="s">
        <v>62</v>
      </c>
      <c r="C5" s="45" t="s">
        <v>12</v>
      </c>
      <c r="D5" s="48" t="s">
        <v>55</v>
      </c>
      <c r="E5" s="49">
        <v>46207</v>
      </c>
      <c r="F5" s="49">
        <v>46208</v>
      </c>
      <c r="G5" s="45">
        <f t="shared" si="0"/>
        <v>2</v>
      </c>
      <c r="H5" s="50">
        <v>1</v>
      </c>
      <c r="I5" s="51" t="str">
        <f t="shared" ca="1" si="1"/>
        <v>Complete</v>
      </c>
      <c r="J5" s="47" t="s">
        <v>63</v>
      </c>
    </row>
    <row r="6" spans="1:10" x14ac:dyDescent="0.35">
      <c r="A6" s="45">
        <v>3</v>
      </c>
      <c r="B6" s="47" t="s">
        <v>64</v>
      </c>
      <c r="C6" s="45" t="s">
        <v>13</v>
      </c>
      <c r="D6" s="48" t="s">
        <v>55</v>
      </c>
      <c r="E6" s="49">
        <v>46209</v>
      </c>
      <c r="F6" s="49">
        <v>46213</v>
      </c>
      <c r="G6" s="45">
        <f t="shared" si="0"/>
        <v>5</v>
      </c>
      <c r="H6" s="50">
        <v>1</v>
      </c>
      <c r="I6" s="51" t="str">
        <f t="shared" ca="1" si="1"/>
        <v>Complete</v>
      </c>
      <c r="J6" s="47" t="s">
        <v>65</v>
      </c>
    </row>
    <row r="7" spans="1:10" x14ac:dyDescent="0.35">
      <c r="A7" s="45">
        <v>4</v>
      </c>
      <c r="B7" s="47" t="s">
        <v>66</v>
      </c>
      <c r="C7" s="45" t="s">
        <v>13</v>
      </c>
      <c r="D7" s="48" t="s">
        <v>55</v>
      </c>
      <c r="E7" s="49">
        <v>46216</v>
      </c>
      <c r="F7" s="49">
        <v>46217</v>
      </c>
      <c r="G7" s="45">
        <f t="shared" si="0"/>
        <v>2</v>
      </c>
      <c r="H7" s="50">
        <v>1</v>
      </c>
      <c r="I7" s="51" t="str">
        <f t="shared" ca="1" si="1"/>
        <v>Complete</v>
      </c>
      <c r="J7" s="47" t="s">
        <v>67</v>
      </c>
    </row>
    <row r="8" spans="1:10" x14ac:dyDescent="0.35">
      <c r="A8" s="45">
        <v>5</v>
      </c>
      <c r="B8" s="47" t="s">
        <v>68</v>
      </c>
      <c r="C8" s="45" t="s">
        <v>14</v>
      </c>
      <c r="D8" s="48" t="s">
        <v>55</v>
      </c>
      <c r="E8" s="49">
        <v>46218</v>
      </c>
      <c r="F8" s="49">
        <v>46219</v>
      </c>
      <c r="G8" s="45">
        <f t="shared" si="0"/>
        <v>2</v>
      </c>
      <c r="H8" s="50">
        <v>1</v>
      </c>
      <c r="I8" s="51" t="str">
        <f t="shared" ca="1" si="1"/>
        <v>Complete</v>
      </c>
      <c r="J8" s="47" t="s">
        <v>69</v>
      </c>
    </row>
    <row r="9" spans="1:10" x14ac:dyDescent="0.35">
      <c r="A9" s="45">
        <v>6</v>
      </c>
      <c r="B9" s="47" t="s">
        <v>70</v>
      </c>
      <c r="C9" s="45" t="s">
        <v>14</v>
      </c>
      <c r="D9" s="48" t="s">
        <v>55</v>
      </c>
      <c r="E9" s="49">
        <v>46220</v>
      </c>
      <c r="F9" s="49">
        <v>46220</v>
      </c>
      <c r="G9" s="45">
        <f t="shared" si="0"/>
        <v>1</v>
      </c>
      <c r="H9" s="50">
        <v>1</v>
      </c>
      <c r="I9" s="51" t="str">
        <f t="shared" ca="1" si="1"/>
        <v>Complete</v>
      </c>
      <c r="J9" s="47" t="s">
        <v>71</v>
      </c>
    </row>
    <row r="10" spans="1:10" ht="29" x14ac:dyDescent="0.35">
      <c r="A10" s="45">
        <v>7</v>
      </c>
      <c r="B10" s="47" t="s">
        <v>72</v>
      </c>
      <c r="C10" s="45" t="s">
        <v>14</v>
      </c>
      <c r="D10" s="48" t="s">
        <v>55</v>
      </c>
      <c r="E10" s="49">
        <v>46220</v>
      </c>
      <c r="F10" s="49">
        <v>46220</v>
      </c>
      <c r="G10" s="45">
        <f t="shared" si="0"/>
        <v>1</v>
      </c>
      <c r="H10" s="50">
        <v>1</v>
      </c>
      <c r="I10" s="51" t="str">
        <f t="shared" ca="1" si="1"/>
        <v>Complete</v>
      </c>
      <c r="J10" s="47" t="s">
        <v>73</v>
      </c>
    </row>
    <row r="11" spans="1:10" ht="30.5" customHeight="1" x14ac:dyDescent="0.35">
      <c r="A11" s="45">
        <v>8</v>
      </c>
      <c r="B11" s="47" t="s">
        <v>74</v>
      </c>
      <c r="C11" s="45" t="s">
        <v>14</v>
      </c>
      <c r="D11" s="48" t="s">
        <v>55</v>
      </c>
      <c r="E11" s="49">
        <v>46219</v>
      </c>
      <c r="F11" s="49" t="s">
        <v>106</v>
      </c>
      <c r="G11" s="45" t="str">
        <f t="shared" si="0"/>
        <v>TBD</v>
      </c>
      <c r="H11" s="50">
        <v>0.4</v>
      </c>
      <c r="I11" s="51" t="str">
        <f t="shared" ca="1" si="1"/>
        <v>Unscheduled</v>
      </c>
      <c r="J11" s="47" t="s">
        <v>75</v>
      </c>
    </row>
    <row r="12" spans="1:10" ht="22" customHeight="1" x14ac:dyDescent="0.35">
      <c r="A12" s="45">
        <v>9</v>
      </c>
      <c r="B12" s="47" t="s">
        <v>76</v>
      </c>
      <c r="C12" s="45" t="s">
        <v>15</v>
      </c>
      <c r="D12" s="48" t="s">
        <v>55</v>
      </c>
      <c r="E12" s="49" t="s">
        <v>106</v>
      </c>
      <c r="F12" s="49" t="s">
        <v>106</v>
      </c>
      <c r="G12" s="45" t="str">
        <f t="shared" si="0"/>
        <v>TBD</v>
      </c>
      <c r="H12" s="50">
        <v>0.2</v>
      </c>
      <c r="I12" s="51" t="str">
        <f t="shared" ca="1" si="1"/>
        <v>Unscheduled</v>
      </c>
      <c r="J12" s="47" t="s">
        <v>77</v>
      </c>
    </row>
    <row r="13" spans="1:10" ht="22" customHeight="1" x14ac:dyDescent="0.35">
      <c r="A13" s="45">
        <v>10</v>
      </c>
      <c r="B13" s="47" t="s">
        <v>78</v>
      </c>
      <c r="C13" s="45" t="s">
        <v>16</v>
      </c>
      <c r="D13" s="48" t="s">
        <v>55</v>
      </c>
      <c r="E13" s="49">
        <v>46241</v>
      </c>
      <c r="F13" s="49">
        <v>46248</v>
      </c>
      <c r="G13" s="45">
        <f t="shared" si="0"/>
        <v>8</v>
      </c>
      <c r="H13" s="50">
        <v>0.05</v>
      </c>
      <c r="I13" s="51" t="str">
        <f t="shared" ca="1" si="1"/>
        <v>On Track</v>
      </c>
      <c r="J13" s="47" t="s">
        <v>79</v>
      </c>
    </row>
    <row r="14" spans="1:10" ht="30.5" customHeight="1" x14ac:dyDescent="0.35">
      <c r="A14" s="45">
        <v>11</v>
      </c>
      <c r="B14" s="47" t="s">
        <v>104</v>
      </c>
      <c r="C14" s="45" t="s">
        <v>14</v>
      </c>
      <c r="D14" s="48" t="s">
        <v>55</v>
      </c>
      <c r="E14" s="49">
        <v>46224</v>
      </c>
      <c r="F14" s="49">
        <v>46228</v>
      </c>
      <c r="G14" s="45">
        <f t="shared" si="0"/>
        <v>5</v>
      </c>
      <c r="H14" s="50">
        <v>0.8</v>
      </c>
      <c r="I14" s="51" t="str">
        <f t="shared" ca="1" si="1"/>
        <v>On Track</v>
      </c>
      <c r="J14" s="47" t="s">
        <v>105</v>
      </c>
    </row>
    <row r="15" spans="1:10" x14ac:dyDescent="0.35">
      <c r="A15" s="45">
        <v>10</v>
      </c>
      <c r="B15" s="47" t="s">
        <v>108</v>
      </c>
      <c r="C15" s="45" t="s">
        <v>15</v>
      </c>
      <c r="D15" s="48" t="s">
        <v>55</v>
      </c>
      <c r="E15" s="49" t="s">
        <v>106</v>
      </c>
      <c r="F15" s="49" t="s">
        <v>106</v>
      </c>
      <c r="G15" s="52" t="str">
        <f t="shared" ref="G15" si="2">IF(OR(NOT(ISNUMBER(E15)),NOT(ISNUMBER(F15))),"TBD",F15-E15+1)</f>
        <v>TBD</v>
      </c>
      <c r="H15" s="50">
        <v>0.05</v>
      </c>
      <c r="I15" s="53" t="str">
        <f t="shared" ref="I15" ca="1" si="3">IF(H15=1,"Complete",IF(NOT(ISNUMBER(F15)),"Unscheduled",IF(AND(F15&lt;TODAY(),H15&lt;1),"Delayed",IF((F15-TODAY())&lt;=3,"At Risk","On Track"))))</f>
        <v>Unscheduled</v>
      </c>
      <c r="J15" s="47" t="s">
        <v>79</v>
      </c>
    </row>
    <row r="21" spans="4:4" x14ac:dyDescent="0.35">
      <c r="D21" s="46"/>
    </row>
  </sheetData>
  <mergeCells count="2">
    <mergeCell ref="A1:J1"/>
    <mergeCell ref="A2:J2"/>
  </mergeCells>
  <conditionalFormatting sqref="H4:H15">
    <cfRule type="dataBar" priority="7">
      <dataBar>
        <cfvo type="min"/>
        <cfvo type="num" val="1"/>
        <color rgb="FF93C5FD"/>
      </dataBar>
      <extLst>
        <ext xmlns:x14="http://schemas.microsoft.com/office/spreadsheetml/2009/9/main" uri="{B025F937-C7B1-47D3-B67F-A62EFF666E3E}">
          <x14:id>{A0FB6DB5-F2A4-4A36-82C6-B09296697E4E}</x14:id>
        </ext>
      </extLst>
    </cfRule>
  </conditionalFormatting>
  <conditionalFormatting sqref="I4:I15">
    <cfRule type="expression" priority="1"/>
    <cfRule type="expression" dxfId="26" priority="3">
      <formula>$I4="Complete"</formula>
    </cfRule>
    <cfRule type="expression" dxfId="25" priority="4">
      <formula>$I4="On Track"</formula>
    </cfRule>
    <cfRule type="expression" dxfId="24" priority="5">
      <formula>$I4="At Risk"</formula>
    </cfRule>
    <cfRule type="expression" dxfId="23" priority="6">
      <formula>$I4="Delayed"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B6DB5-F2A4-4A36-82C6-B09296697E4E}">
            <x14:dataBar minLength="0" maxLength="100" negativeBarColorSameAsPositive="1" axisPosition="none">
              <x14:cfvo type="min"/>
              <x14:cfvo type="num">
                <xm:f>1</xm:f>
              </x14:cfvo>
            </x14:dataBar>
          </x14:cfRule>
          <xm:sqref>H4:H15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0CA484-E74C-406F-BE13-C47DD3D3C08B}">
          <x14:formula1>
            <xm:f>Lists!$A$4:$A$615</xm:f>
          </x14:formula1>
          <xm:sqref>E4:F15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6279-5B62-4AAE-B546-C5F67E901F4F}">
  <dimension ref="A1:H10"/>
  <sheetViews>
    <sheetView tabSelected="1" workbookViewId="0">
      <pane ySplit="3" topLeftCell="A4" activePane="bottomLeft" state="frozen"/>
      <selection pane="bottomLeft" activeCell="H20" sqref="H20"/>
    </sheetView>
  </sheetViews>
  <sheetFormatPr defaultRowHeight="14.5" x14ac:dyDescent="0.35"/>
  <cols>
    <col min="1" max="1" width="8.1796875" customWidth="1"/>
    <col min="2" max="2" width="40" customWidth="1"/>
    <col min="3" max="5" width="18.1796875" customWidth="1"/>
    <col min="6" max="6" width="16.36328125" customWidth="1"/>
    <col min="7" max="7" width="18.1796875" customWidth="1"/>
    <col min="8" max="8" width="40" customWidth="1"/>
  </cols>
  <sheetData>
    <row r="1" spans="1:8" ht="26" customHeight="1" x14ac:dyDescent="0.5">
      <c r="A1" s="24" t="s">
        <v>17</v>
      </c>
      <c r="B1" s="24"/>
      <c r="C1" s="24"/>
      <c r="D1" s="24"/>
      <c r="E1" s="24"/>
      <c r="F1" s="24"/>
      <c r="G1" s="24"/>
      <c r="H1" s="24"/>
    </row>
    <row r="2" spans="1:8" x14ac:dyDescent="0.35">
      <c r="A2" s="25" t="s">
        <v>18</v>
      </c>
      <c r="B2" s="25"/>
      <c r="C2" s="25"/>
      <c r="D2" s="25"/>
      <c r="E2" s="25"/>
      <c r="F2" s="25"/>
      <c r="G2" s="25"/>
      <c r="H2" s="25"/>
    </row>
    <row r="3" spans="1:8" x14ac:dyDescent="0.35">
      <c r="A3" s="3" t="s">
        <v>19</v>
      </c>
      <c r="B3" s="2" t="s">
        <v>20</v>
      </c>
      <c r="C3" s="2" t="s">
        <v>4</v>
      </c>
      <c r="D3" s="3" t="s">
        <v>21</v>
      </c>
      <c r="E3" s="3" t="s">
        <v>22</v>
      </c>
      <c r="F3" s="3" t="s">
        <v>5</v>
      </c>
      <c r="G3" s="3" t="s">
        <v>10</v>
      </c>
      <c r="H3" s="3" t="s">
        <v>11</v>
      </c>
    </row>
    <row r="4" spans="1:8" x14ac:dyDescent="0.35">
      <c r="A4">
        <v>1</v>
      </c>
      <c r="B4" t="s">
        <v>80</v>
      </c>
      <c r="C4" t="s">
        <v>12</v>
      </c>
      <c r="D4" s="5">
        <v>46193</v>
      </c>
      <c r="E4" s="5">
        <v>46193</v>
      </c>
      <c r="F4" s="4" t="s">
        <v>55</v>
      </c>
      <c r="G4" s="7" t="str">
        <f t="shared" ref="G4:G9" ca="1" si="0">IF(E4&lt;&gt;"","Complete",IF(NOT(ISNUMBER(D4)),"Unscheduled",IF(D4&lt;TODAY(),"Delayed",IF((D4-TODAY())&lt;=7,"At Risk","On Track"))))</f>
        <v>Complete</v>
      </c>
      <c r="H4" t="s">
        <v>81</v>
      </c>
    </row>
    <row r="5" spans="1:8" x14ac:dyDescent="0.35">
      <c r="A5">
        <v>2</v>
      </c>
      <c r="B5" t="s">
        <v>82</v>
      </c>
      <c r="C5" t="s">
        <v>13</v>
      </c>
      <c r="D5" s="5">
        <v>46211</v>
      </c>
      <c r="E5" s="5">
        <v>46211</v>
      </c>
      <c r="F5" s="4" t="s">
        <v>55</v>
      </c>
      <c r="G5" s="7" t="str">
        <f t="shared" ca="1" si="0"/>
        <v>Complete</v>
      </c>
      <c r="H5" t="s">
        <v>83</v>
      </c>
    </row>
    <row r="6" spans="1:8" x14ac:dyDescent="0.35">
      <c r="A6">
        <v>3</v>
      </c>
      <c r="B6" t="s">
        <v>84</v>
      </c>
      <c r="C6" t="s">
        <v>14</v>
      </c>
      <c r="D6" s="5">
        <v>46223</v>
      </c>
      <c r="E6" s="5">
        <v>46223</v>
      </c>
      <c r="F6" s="4" t="s">
        <v>55</v>
      </c>
      <c r="G6" s="7" t="str">
        <f t="shared" ca="1" si="0"/>
        <v>Complete</v>
      </c>
      <c r="H6" t="s">
        <v>85</v>
      </c>
    </row>
    <row r="7" spans="1:8" x14ac:dyDescent="0.35">
      <c r="A7">
        <v>4</v>
      </c>
      <c r="B7" t="s">
        <v>86</v>
      </c>
      <c r="C7" t="s">
        <v>14</v>
      </c>
      <c r="D7" s="5">
        <v>46228</v>
      </c>
      <c r="E7" s="5">
        <v>46224</v>
      </c>
      <c r="F7" s="4" t="s">
        <v>55</v>
      </c>
      <c r="G7" s="7" t="str">
        <f t="shared" ca="1" si="0"/>
        <v>Complete</v>
      </c>
      <c r="H7" t="s">
        <v>87</v>
      </c>
    </row>
    <row r="8" spans="1:8" x14ac:dyDescent="0.35">
      <c r="A8">
        <v>5</v>
      </c>
      <c r="B8" t="s">
        <v>88</v>
      </c>
      <c r="C8" t="s">
        <v>14</v>
      </c>
      <c r="D8" s="5">
        <v>46249</v>
      </c>
      <c r="E8" s="5"/>
      <c r="F8" s="4" t="s">
        <v>55</v>
      </c>
      <c r="G8" s="7" t="str">
        <f t="shared" ca="1" si="0"/>
        <v>On Track</v>
      </c>
      <c r="H8" t="s">
        <v>89</v>
      </c>
    </row>
    <row r="9" spans="1:8" x14ac:dyDescent="0.35">
      <c r="A9">
        <v>6</v>
      </c>
      <c r="B9" t="s">
        <v>90</v>
      </c>
      <c r="C9" t="s">
        <v>16</v>
      </c>
      <c r="D9" s="5">
        <v>46295</v>
      </c>
      <c r="E9" s="5"/>
      <c r="F9" s="4" t="s">
        <v>55</v>
      </c>
      <c r="G9" s="7" t="str">
        <f t="shared" ca="1" si="0"/>
        <v>On Track</v>
      </c>
      <c r="H9" t="s">
        <v>91</v>
      </c>
    </row>
    <row r="10" spans="1:8" x14ac:dyDescent="0.35">
      <c r="A10">
        <v>7</v>
      </c>
      <c r="B10" t="s">
        <v>108</v>
      </c>
      <c r="C10" t="s">
        <v>15</v>
      </c>
      <c r="D10" s="5" t="s">
        <v>106</v>
      </c>
      <c r="E10" s="5"/>
      <c r="F10" s="4" t="s">
        <v>55</v>
      </c>
      <c r="G10" s="54" t="str">
        <f t="shared" ref="G10" ca="1" si="1">IF(E10&lt;&gt;"","Complete",IF(NOT(ISNUMBER(D10)),"Unscheduled",IF(D10&lt;TODAY(),"Delayed",IF((D10-TODAY())&lt;=7,"At Risk","On Track"))))</f>
        <v>Unscheduled</v>
      </c>
      <c r="H10" t="s">
        <v>89</v>
      </c>
    </row>
  </sheetData>
  <mergeCells count="2">
    <mergeCell ref="A1:H1"/>
    <mergeCell ref="A2:H2"/>
  </mergeCells>
  <conditionalFormatting sqref="G4:G10">
    <cfRule type="expression" dxfId="22" priority="1">
      <formula>$G4="Complete"</formula>
    </cfRule>
    <cfRule type="expression" dxfId="21" priority="2">
      <formula>$G4="On Track"</formula>
    </cfRule>
    <cfRule type="expression" dxfId="20" priority="3">
      <formula>$G4="At Risk"</formula>
    </cfRule>
    <cfRule type="expression" dxfId="19" priority="4">
      <formula>$G4="Delayed"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5A0AE6-0292-4066-90BE-6615D5B1A515}">
          <x14:formula1>
            <xm:f>Lists!$A$4:$A$615</xm:f>
          </x14:formula1>
          <xm:sqref>D4:E10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1399-DC71-491A-A9F1-310A8709937F}">
  <dimension ref="A1:I8"/>
  <sheetViews>
    <sheetView workbookViewId="0">
      <pane ySplit="3" topLeftCell="A4" activePane="bottomLeft" state="frozen"/>
      <selection pane="bottomLeft" activeCell="G13" sqref="G13"/>
    </sheetView>
  </sheetViews>
  <sheetFormatPr defaultRowHeight="14.5" x14ac:dyDescent="0.35"/>
  <cols>
    <col min="1" max="1" width="7.26953125" customWidth="1"/>
    <col min="2" max="2" width="43.6328125" customWidth="1"/>
    <col min="3" max="3" width="16.36328125" customWidth="1"/>
    <col min="4" max="4" width="14.54296875" customWidth="1"/>
    <col min="5" max="6" width="16.36328125" customWidth="1"/>
    <col min="7" max="7" width="47.26953125" customWidth="1"/>
    <col min="8" max="9" width="18.1796875" customWidth="1"/>
  </cols>
  <sheetData>
    <row r="1" spans="1:9" ht="26" customHeight="1" x14ac:dyDescent="0.5">
      <c r="A1" s="24" t="s">
        <v>23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5" t="s">
        <v>24</v>
      </c>
      <c r="B2" s="25"/>
      <c r="C2" s="25"/>
      <c r="D2" s="25"/>
      <c r="E2" s="25"/>
      <c r="F2" s="25"/>
      <c r="G2" s="25"/>
      <c r="H2" s="25"/>
      <c r="I2" s="25"/>
    </row>
    <row r="3" spans="1:9" x14ac:dyDescent="0.35">
      <c r="A3" s="3" t="s">
        <v>19</v>
      </c>
      <c r="B3" s="2" t="s">
        <v>25</v>
      </c>
      <c r="C3" s="2" t="s">
        <v>26</v>
      </c>
      <c r="D3" s="3" t="s">
        <v>27</v>
      </c>
      <c r="E3" s="3" t="s">
        <v>28</v>
      </c>
      <c r="F3" s="3" t="s">
        <v>5</v>
      </c>
      <c r="G3" s="3" t="s">
        <v>29</v>
      </c>
      <c r="H3" s="3" t="s">
        <v>10</v>
      </c>
      <c r="I3" s="3" t="s">
        <v>30</v>
      </c>
    </row>
    <row r="4" spans="1:9" ht="29" x14ac:dyDescent="0.35">
      <c r="A4">
        <v>1</v>
      </c>
      <c r="B4" s="39" t="s">
        <v>92</v>
      </c>
      <c r="C4" t="s">
        <v>35</v>
      </c>
      <c r="D4" s="8" t="s">
        <v>32</v>
      </c>
      <c r="E4" s="6" t="s">
        <v>33</v>
      </c>
      <c r="F4" s="4" t="s">
        <v>55</v>
      </c>
      <c r="G4" s="39" t="s">
        <v>93</v>
      </c>
      <c r="H4" s="8" t="s">
        <v>34</v>
      </c>
      <c r="I4" s="9">
        <v>46223</v>
      </c>
    </row>
    <row r="5" spans="1:9" ht="29" x14ac:dyDescent="0.35">
      <c r="A5">
        <v>2</v>
      </c>
      <c r="B5" s="39" t="s">
        <v>94</v>
      </c>
      <c r="C5" t="s">
        <v>95</v>
      </c>
      <c r="D5" s="8" t="s">
        <v>32</v>
      </c>
      <c r="E5" s="6" t="s">
        <v>33</v>
      </c>
      <c r="F5" s="4" t="s">
        <v>55</v>
      </c>
      <c r="G5" s="39" t="s">
        <v>96</v>
      </c>
      <c r="H5" s="8" t="s">
        <v>34</v>
      </c>
      <c r="I5" s="9">
        <v>46224</v>
      </c>
    </row>
    <row r="6" spans="1:9" ht="29" x14ac:dyDescent="0.35">
      <c r="A6">
        <v>3</v>
      </c>
      <c r="B6" s="39" t="s">
        <v>97</v>
      </c>
      <c r="C6" t="s">
        <v>35</v>
      </c>
      <c r="D6" s="8" t="s">
        <v>36</v>
      </c>
      <c r="E6" s="6" t="s">
        <v>37</v>
      </c>
      <c r="F6" s="4" t="s">
        <v>55</v>
      </c>
      <c r="G6" s="39" t="s">
        <v>98</v>
      </c>
      <c r="H6" s="8" t="s">
        <v>38</v>
      </c>
      <c r="I6" s="9">
        <v>46224</v>
      </c>
    </row>
    <row r="7" spans="1:9" ht="29" x14ac:dyDescent="0.35">
      <c r="A7">
        <v>4</v>
      </c>
      <c r="B7" s="39" t="s">
        <v>99</v>
      </c>
      <c r="C7" t="s">
        <v>31</v>
      </c>
      <c r="D7" s="8" t="s">
        <v>36</v>
      </c>
      <c r="E7" s="6" t="s">
        <v>37</v>
      </c>
      <c r="F7" s="4" t="s">
        <v>55</v>
      </c>
      <c r="G7" t="s">
        <v>100</v>
      </c>
      <c r="H7" s="8" t="s">
        <v>34</v>
      </c>
      <c r="I7" s="9">
        <v>46224</v>
      </c>
    </row>
    <row r="8" spans="1:9" ht="29" x14ac:dyDescent="0.35">
      <c r="A8">
        <v>5</v>
      </c>
      <c r="B8" s="39" t="s">
        <v>101</v>
      </c>
      <c r="C8" t="s">
        <v>102</v>
      </c>
      <c r="D8" s="8" t="s">
        <v>36</v>
      </c>
      <c r="E8" s="6" t="s">
        <v>37</v>
      </c>
      <c r="F8" s="4" t="s">
        <v>55</v>
      </c>
      <c r="G8" t="s">
        <v>103</v>
      </c>
      <c r="H8" s="8" t="s">
        <v>38</v>
      </c>
      <c r="I8" s="9">
        <v>46218</v>
      </c>
    </row>
  </sheetData>
  <mergeCells count="2">
    <mergeCell ref="A1:I1"/>
    <mergeCell ref="A2:I2"/>
  </mergeCells>
  <conditionalFormatting sqref="D4:D8">
    <cfRule type="expression" dxfId="18" priority="1">
      <formula>$D4="High"</formula>
    </cfRule>
    <cfRule type="expression" dxfId="17" priority="2">
      <formula>$D4="Medium"</formula>
    </cfRule>
    <cfRule type="expression" dxfId="16" priority="3">
      <formula>$D4="Low"</formula>
    </cfRule>
  </conditionalFormatting>
  <conditionalFormatting sqref="H4:H8">
    <cfRule type="expression" dxfId="15" priority="4">
      <formula>$H4="Open"</formula>
    </cfRule>
    <cfRule type="expression" dxfId="14" priority="5">
      <formula>$H4="Monitoring"</formula>
    </cfRule>
    <cfRule type="expression" dxfId="13" priority="6">
      <formula>$H4="Closed"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290AD0-4047-44B3-A40F-5D5DBE873B4B}">
          <x14:formula1>
            <xm:f>Lists!$A$4:$A$615</xm:f>
          </x14:formula1>
          <xm:sqref>I4:I8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5260-27EA-453D-9C1B-106C0029D9F4}">
  <dimension ref="A1:A1100"/>
  <sheetViews>
    <sheetView workbookViewId="0">
      <selection activeCell="R28" sqref="R28"/>
    </sheetView>
  </sheetViews>
  <sheetFormatPr defaultRowHeight="14.5" x14ac:dyDescent="0.35"/>
  <cols>
    <col min="1" max="1" width="36.36328125" customWidth="1"/>
  </cols>
  <sheetData>
    <row r="1" spans="1:1" ht="18.5" x14ac:dyDescent="0.45">
      <c r="A1" s="23" t="s">
        <v>57</v>
      </c>
    </row>
    <row r="2" spans="1:1" x14ac:dyDescent="0.35">
      <c r="A2" s="1" t="s">
        <v>58</v>
      </c>
    </row>
    <row r="3" spans="1:1" x14ac:dyDescent="0.35">
      <c r="A3" s="11" t="s">
        <v>59</v>
      </c>
    </row>
    <row r="4" spans="1:1" x14ac:dyDescent="0.35">
      <c r="A4" s="40" t="s">
        <v>106</v>
      </c>
    </row>
    <row r="5" spans="1:1" x14ac:dyDescent="0.35">
      <c r="A5" s="5">
        <v>46143</v>
      </c>
    </row>
    <row r="6" spans="1:1" x14ac:dyDescent="0.35">
      <c r="A6" s="10">
        <f>A5+1</f>
        <v>46144</v>
      </c>
    </row>
    <row r="7" spans="1:1" x14ac:dyDescent="0.35">
      <c r="A7" s="10">
        <f t="shared" ref="A7:A70" si="0">A6+1</f>
        <v>46145</v>
      </c>
    </row>
    <row r="8" spans="1:1" x14ac:dyDescent="0.35">
      <c r="A8" s="10">
        <f t="shared" si="0"/>
        <v>46146</v>
      </c>
    </row>
    <row r="9" spans="1:1" x14ac:dyDescent="0.35">
      <c r="A9" s="10">
        <f t="shared" si="0"/>
        <v>46147</v>
      </c>
    </row>
    <row r="10" spans="1:1" x14ac:dyDescent="0.35">
      <c r="A10" s="10">
        <f t="shared" si="0"/>
        <v>46148</v>
      </c>
    </row>
    <row r="11" spans="1:1" x14ac:dyDescent="0.35">
      <c r="A11" s="10">
        <f t="shared" si="0"/>
        <v>46149</v>
      </c>
    </row>
    <row r="12" spans="1:1" x14ac:dyDescent="0.35">
      <c r="A12" s="10">
        <f t="shared" si="0"/>
        <v>46150</v>
      </c>
    </row>
    <row r="13" spans="1:1" x14ac:dyDescent="0.35">
      <c r="A13" s="10">
        <f t="shared" si="0"/>
        <v>46151</v>
      </c>
    </row>
    <row r="14" spans="1:1" x14ac:dyDescent="0.35">
      <c r="A14" s="10">
        <f t="shared" si="0"/>
        <v>46152</v>
      </c>
    </row>
    <row r="15" spans="1:1" x14ac:dyDescent="0.35">
      <c r="A15" s="10">
        <f t="shared" si="0"/>
        <v>46153</v>
      </c>
    </row>
    <row r="16" spans="1:1" x14ac:dyDescent="0.35">
      <c r="A16" s="10">
        <f t="shared" si="0"/>
        <v>46154</v>
      </c>
    </row>
    <row r="17" spans="1:1" x14ac:dyDescent="0.35">
      <c r="A17" s="10">
        <f t="shared" si="0"/>
        <v>46155</v>
      </c>
    </row>
    <row r="18" spans="1:1" x14ac:dyDescent="0.35">
      <c r="A18" s="10">
        <f t="shared" si="0"/>
        <v>46156</v>
      </c>
    </row>
    <row r="19" spans="1:1" x14ac:dyDescent="0.35">
      <c r="A19" s="10">
        <f t="shared" si="0"/>
        <v>46157</v>
      </c>
    </row>
    <row r="20" spans="1:1" x14ac:dyDescent="0.35">
      <c r="A20" s="10">
        <f t="shared" si="0"/>
        <v>46158</v>
      </c>
    </row>
    <row r="21" spans="1:1" x14ac:dyDescent="0.35">
      <c r="A21" s="10">
        <f t="shared" si="0"/>
        <v>46159</v>
      </c>
    </row>
    <row r="22" spans="1:1" x14ac:dyDescent="0.35">
      <c r="A22" s="10">
        <f t="shared" si="0"/>
        <v>46160</v>
      </c>
    </row>
    <row r="23" spans="1:1" x14ac:dyDescent="0.35">
      <c r="A23" s="10">
        <f t="shared" si="0"/>
        <v>46161</v>
      </c>
    </row>
    <row r="24" spans="1:1" x14ac:dyDescent="0.35">
      <c r="A24" s="10">
        <f t="shared" si="0"/>
        <v>46162</v>
      </c>
    </row>
    <row r="25" spans="1:1" x14ac:dyDescent="0.35">
      <c r="A25" s="10">
        <f t="shared" si="0"/>
        <v>46163</v>
      </c>
    </row>
    <row r="26" spans="1:1" x14ac:dyDescent="0.35">
      <c r="A26" s="10">
        <f t="shared" si="0"/>
        <v>46164</v>
      </c>
    </row>
    <row r="27" spans="1:1" x14ac:dyDescent="0.35">
      <c r="A27" s="10">
        <f t="shared" si="0"/>
        <v>46165</v>
      </c>
    </row>
    <row r="28" spans="1:1" x14ac:dyDescent="0.35">
      <c r="A28" s="10">
        <f t="shared" si="0"/>
        <v>46166</v>
      </c>
    </row>
    <row r="29" spans="1:1" x14ac:dyDescent="0.35">
      <c r="A29" s="10">
        <f t="shared" si="0"/>
        <v>46167</v>
      </c>
    </row>
    <row r="30" spans="1:1" x14ac:dyDescent="0.35">
      <c r="A30" s="10">
        <f t="shared" si="0"/>
        <v>46168</v>
      </c>
    </row>
    <row r="31" spans="1:1" x14ac:dyDescent="0.35">
      <c r="A31" s="10">
        <f t="shared" si="0"/>
        <v>46169</v>
      </c>
    </row>
    <row r="32" spans="1:1" x14ac:dyDescent="0.35">
      <c r="A32" s="10">
        <f t="shared" si="0"/>
        <v>46170</v>
      </c>
    </row>
    <row r="33" spans="1:1" x14ac:dyDescent="0.35">
      <c r="A33" s="10">
        <f t="shared" si="0"/>
        <v>46171</v>
      </c>
    </row>
    <row r="34" spans="1:1" x14ac:dyDescent="0.35">
      <c r="A34" s="10">
        <f t="shared" si="0"/>
        <v>46172</v>
      </c>
    </row>
    <row r="35" spans="1:1" x14ac:dyDescent="0.35">
      <c r="A35" s="10">
        <f t="shared" si="0"/>
        <v>46173</v>
      </c>
    </row>
    <row r="36" spans="1:1" x14ac:dyDescent="0.35">
      <c r="A36" s="10">
        <f t="shared" si="0"/>
        <v>46174</v>
      </c>
    </row>
    <row r="37" spans="1:1" x14ac:dyDescent="0.35">
      <c r="A37" s="10">
        <f t="shared" si="0"/>
        <v>46175</v>
      </c>
    </row>
    <row r="38" spans="1:1" x14ac:dyDescent="0.35">
      <c r="A38" s="10">
        <f t="shared" si="0"/>
        <v>46176</v>
      </c>
    </row>
    <row r="39" spans="1:1" x14ac:dyDescent="0.35">
      <c r="A39" s="10">
        <f t="shared" si="0"/>
        <v>46177</v>
      </c>
    </row>
    <row r="40" spans="1:1" x14ac:dyDescent="0.35">
      <c r="A40" s="10">
        <f t="shared" si="0"/>
        <v>46178</v>
      </c>
    </row>
    <row r="41" spans="1:1" x14ac:dyDescent="0.35">
      <c r="A41" s="10">
        <f t="shared" si="0"/>
        <v>46179</v>
      </c>
    </row>
    <row r="42" spans="1:1" x14ac:dyDescent="0.35">
      <c r="A42" s="10">
        <f t="shared" si="0"/>
        <v>46180</v>
      </c>
    </row>
    <row r="43" spans="1:1" x14ac:dyDescent="0.35">
      <c r="A43" s="10">
        <f t="shared" si="0"/>
        <v>46181</v>
      </c>
    </row>
    <row r="44" spans="1:1" x14ac:dyDescent="0.35">
      <c r="A44" s="10">
        <f t="shared" si="0"/>
        <v>46182</v>
      </c>
    </row>
    <row r="45" spans="1:1" x14ac:dyDescent="0.35">
      <c r="A45" s="10">
        <f t="shared" si="0"/>
        <v>46183</v>
      </c>
    </row>
    <row r="46" spans="1:1" x14ac:dyDescent="0.35">
      <c r="A46" s="10">
        <f t="shared" si="0"/>
        <v>46184</v>
      </c>
    </row>
    <row r="47" spans="1:1" x14ac:dyDescent="0.35">
      <c r="A47" s="10">
        <f t="shared" si="0"/>
        <v>46185</v>
      </c>
    </row>
    <row r="48" spans="1:1" x14ac:dyDescent="0.35">
      <c r="A48" s="10">
        <f t="shared" si="0"/>
        <v>46186</v>
      </c>
    </row>
    <row r="49" spans="1:1" x14ac:dyDescent="0.35">
      <c r="A49" s="10">
        <f t="shared" si="0"/>
        <v>46187</v>
      </c>
    </row>
    <row r="50" spans="1:1" x14ac:dyDescent="0.35">
      <c r="A50" s="10">
        <f t="shared" si="0"/>
        <v>46188</v>
      </c>
    </row>
    <row r="51" spans="1:1" x14ac:dyDescent="0.35">
      <c r="A51" s="10">
        <f t="shared" si="0"/>
        <v>46189</v>
      </c>
    </row>
    <row r="52" spans="1:1" x14ac:dyDescent="0.35">
      <c r="A52" s="10">
        <f t="shared" si="0"/>
        <v>46190</v>
      </c>
    </row>
    <row r="53" spans="1:1" x14ac:dyDescent="0.35">
      <c r="A53" s="10">
        <f t="shared" si="0"/>
        <v>46191</v>
      </c>
    </row>
    <row r="54" spans="1:1" x14ac:dyDescent="0.35">
      <c r="A54" s="10">
        <f t="shared" si="0"/>
        <v>46192</v>
      </c>
    </row>
    <row r="55" spans="1:1" x14ac:dyDescent="0.35">
      <c r="A55" s="10">
        <f t="shared" si="0"/>
        <v>46193</v>
      </c>
    </row>
    <row r="56" spans="1:1" x14ac:dyDescent="0.35">
      <c r="A56" s="10">
        <f t="shared" si="0"/>
        <v>46194</v>
      </c>
    </row>
    <row r="57" spans="1:1" x14ac:dyDescent="0.35">
      <c r="A57" s="10">
        <f t="shared" si="0"/>
        <v>46195</v>
      </c>
    </row>
    <row r="58" spans="1:1" x14ac:dyDescent="0.35">
      <c r="A58" s="10">
        <f t="shared" si="0"/>
        <v>46196</v>
      </c>
    </row>
    <row r="59" spans="1:1" x14ac:dyDescent="0.35">
      <c r="A59" s="10">
        <f t="shared" si="0"/>
        <v>46197</v>
      </c>
    </row>
    <row r="60" spans="1:1" x14ac:dyDescent="0.35">
      <c r="A60" s="10">
        <f t="shared" si="0"/>
        <v>46198</v>
      </c>
    </row>
    <row r="61" spans="1:1" x14ac:dyDescent="0.35">
      <c r="A61" s="10">
        <f t="shared" si="0"/>
        <v>46199</v>
      </c>
    </row>
    <row r="62" spans="1:1" x14ac:dyDescent="0.35">
      <c r="A62" s="10">
        <f t="shared" si="0"/>
        <v>46200</v>
      </c>
    </row>
    <row r="63" spans="1:1" x14ac:dyDescent="0.35">
      <c r="A63" s="10">
        <f t="shared" si="0"/>
        <v>46201</v>
      </c>
    </row>
    <row r="64" spans="1:1" x14ac:dyDescent="0.35">
      <c r="A64" s="10">
        <f t="shared" si="0"/>
        <v>46202</v>
      </c>
    </row>
    <row r="65" spans="1:1" x14ac:dyDescent="0.35">
      <c r="A65" s="10">
        <f t="shared" si="0"/>
        <v>46203</v>
      </c>
    </row>
    <row r="66" spans="1:1" x14ac:dyDescent="0.35">
      <c r="A66" s="10">
        <f t="shared" si="0"/>
        <v>46204</v>
      </c>
    </row>
    <row r="67" spans="1:1" x14ac:dyDescent="0.35">
      <c r="A67" s="10">
        <f t="shared" si="0"/>
        <v>46205</v>
      </c>
    </row>
    <row r="68" spans="1:1" x14ac:dyDescent="0.35">
      <c r="A68" s="10">
        <f t="shared" si="0"/>
        <v>46206</v>
      </c>
    </row>
    <row r="69" spans="1:1" x14ac:dyDescent="0.35">
      <c r="A69" s="10">
        <f t="shared" si="0"/>
        <v>46207</v>
      </c>
    </row>
    <row r="70" spans="1:1" x14ac:dyDescent="0.35">
      <c r="A70" s="10">
        <f t="shared" si="0"/>
        <v>46208</v>
      </c>
    </row>
    <row r="71" spans="1:1" x14ac:dyDescent="0.35">
      <c r="A71" s="10">
        <f t="shared" ref="A71:A134" si="1">A70+1</f>
        <v>46209</v>
      </c>
    </row>
    <row r="72" spans="1:1" x14ac:dyDescent="0.35">
      <c r="A72" s="10">
        <f t="shared" si="1"/>
        <v>46210</v>
      </c>
    </row>
    <row r="73" spans="1:1" x14ac:dyDescent="0.35">
      <c r="A73" s="10">
        <f t="shared" si="1"/>
        <v>46211</v>
      </c>
    </row>
    <row r="74" spans="1:1" x14ac:dyDescent="0.35">
      <c r="A74" s="10">
        <f t="shared" si="1"/>
        <v>46212</v>
      </c>
    </row>
    <row r="75" spans="1:1" x14ac:dyDescent="0.35">
      <c r="A75" s="10">
        <f t="shared" si="1"/>
        <v>46213</v>
      </c>
    </row>
    <row r="76" spans="1:1" x14ac:dyDescent="0.35">
      <c r="A76" s="10">
        <f t="shared" si="1"/>
        <v>46214</v>
      </c>
    </row>
    <row r="77" spans="1:1" x14ac:dyDescent="0.35">
      <c r="A77" s="10">
        <f t="shared" si="1"/>
        <v>46215</v>
      </c>
    </row>
    <row r="78" spans="1:1" x14ac:dyDescent="0.35">
      <c r="A78" s="10">
        <f t="shared" si="1"/>
        <v>46216</v>
      </c>
    </row>
    <row r="79" spans="1:1" x14ac:dyDescent="0.35">
      <c r="A79" s="10">
        <f t="shared" si="1"/>
        <v>46217</v>
      </c>
    </row>
    <row r="80" spans="1:1" x14ac:dyDescent="0.35">
      <c r="A80" s="10">
        <f t="shared" si="1"/>
        <v>46218</v>
      </c>
    </row>
    <row r="81" spans="1:1" x14ac:dyDescent="0.35">
      <c r="A81" s="10">
        <f t="shared" si="1"/>
        <v>46219</v>
      </c>
    </row>
    <row r="82" spans="1:1" x14ac:dyDescent="0.35">
      <c r="A82" s="10">
        <f t="shared" si="1"/>
        <v>46220</v>
      </c>
    </row>
    <row r="83" spans="1:1" x14ac:dyDescent="0.35">
      <c r="A83" s="10">
        <f t="shared" si="1"/>
        <v>46221</v>
      </c>
    </row>
    <row r="84" spans="1:1" x14ac:dyDescent="0.35">
      <c r="A84" s="10">
        <f t="shared" si="1"/>
        <v>46222</v>
      </c>
    </row>
    <row r="85" spans="1:1" x14ac:dyDescent="0.35">
      <c r="A85" s="10">
        <f t="shared" si="1"/>
        <v>46223</v>
      </c>
    </row>
    <row r="86" spans="1:1" x14ac:dyDescent="0.35">
      <c r="A86" s="10">
        <f t="shared" si="1"/>
        <v>46224</v>
      </c>
    </row>
    <row r="87" spans="1:1" x14ac:dyDescent="0.35">
      <c r="A87" s="10">
        <f t="shared" si="1"/>
        <v>46225</v>
      </c>
    </row>
    <row r="88" spans="1:1" x14ac:dyDescent="0.35">
      <c r="A88" s="10">
        <f t="shared" si="1"/>
        <v>46226</v>
      </c>
    </row>
    <row r="89" spans="1:1" x14ac:dyDescent="0.35">
      <c r="A89" s="10">
        <f t="shared" si="1"/>
        <v>46227</v>
      </c>
    </row>
    <row r="90" spans="1:1" x14ac:dyDescent="0.35">
      <c r="A90" s="10">
        <f t="shared" si="1"/>
        <v>46228</v>
      </c>
    </row>
    <row r="91" spans="1:1" x14ac:dyDescent="0.35">
      <c r="A91" s="10">
        <f t="shared" si="1"/>
        <v>46229</v>
      </c>
    </row>
    <row r="92" spans="1:1" x14ac:dyDescent="0.35">
      <c r="A92" s="10">
        <f t="shared" si="1"/>
        <v>46230</v>
      </c>
    </row>
    <row r="93" spans="1:1" x14ac:dyDescent="0.35">
      <c r="A93" s="10">
        <f t="shared" si="1"/>
        <v>46231</v>
      </c>
    </row>
    <row r="94" spans="1:1" x14ac:dyDescent="0.35">
      <c r="A94" s="10">
        <f t="shared" si="1"/>
        <v>46232</v>
      </c>
    </row>
    <row r="95" spans="1:1" x14ac:dyDescent="0.35">
      <c r="A95" s="10">
        <f t="shared" si="1"/>
        <v>46233</v>
      </c>
    </row>
    <row r="96" spans="1:1" x14ac:dyDescent="0.35">
      <c r="A96" s="10">
        <f t="shared" si="1"/>
        <v>46234</v>
      </c>
    </row>
    <row r="97" spans="1:1" x14ac:dyDescent="0.35">
      <c r="A97" s="10">
        <f t="shared" si="1"/>
        <v>46235</v>
      </c>
    </row>
    <row r="98" spans="1:1" x14ac:dyDescent="0.35">
      <c r="A98" s="10">
        <f t="shared" si="1"/>
        <v>46236</v>
      </c>
    </row>
    <row r="99" spans="1:1" x14ac:dyDescent="0.35">
      <c r="A99" s="10">
        <f t="shared" si="1"/>
        <v>46237</v>
      </c>
    </row>
    <row r="100" spans="1:1" x14ac:dyDescent="0.35">
      <c r="A100" s="10">
        <f t="shared" si="1"/>
        <v>46238</v>
      </c>
    </row>
    <row r="101" spans="1:1" x14ac:dyDescent="0.35">
      <c r="A101" s="10">
        <f t="shared" si="1"/>
        <v>46239</v>
      </c>
    </row>
    <row r="102" spans="1:1" x14ac:dyDescent="0.35">
      <c r="A102" s="10">
        <f t="shared" si="1"/>
        <v>46240</v>
      </c>
    </row>
    <row r="103" spans="1:1" x14ac:dyDescent="0.35">
      <c r="A103" s="10">
        <f t="shared" si="1"/>
        <v>46241</v>
      </c>
    </row>
    <row r="104" spans="1:1" x14ac:dyDescent="0.35">
      <c r="A104" s="10">
        <f t="shared" si="1"/>
        <v>46242</v>
      </c>
    </row>
    <row r="105" spans="1:1" x14ac:dyDescent="0.35">
      <c r="A105" s="10">
        <f t="shared" si="1"/>
        <v>46243</v>
      </c>
    </row>
    <row r="106" spans="1:1" x14ac:dyDescent="0.35">
      <c r="A106" s="10">
        <f t="shared" si="1"/>
        <v>46244</v>
      </c>
    </row>
    <row r="107" spans="1:1" x14ac:dyDescent="0.35">
      <c r="A107" s="10">
        <f t="shared" si="1"/>
        <v>46245</v>
      </c>
    </row>
    <row r="108" spans="1:1" x14ac:dyDescent="0.35">
      <c r="A108" s="10">
        <f t="shared" si="1"/>
        <v>46246</v>
      </c>
    </row>
    <row r="109" spans="1:1" x14ac:dyDescent="0.35">
      <c r="A109" s="10">
        <f t="shared" si="1"/>
        <v>46247</v>
      </c>
    </row>
    <row r="110" spans="1:1" x14ac:dyDescent="0.35">
      <c r="A110" s="10">
        <f t="shared" si="1"/>
        <v>46248</v>
      </c>
    </row>
    <row r="111" spans="1:1" x14ac:dyDescent="0.35">
      <c r="A111" s="10">
        <f t="shared" si="1"/>
        <v>46249</v>
      </c>
    </row>
    <row r="112" spans="1:1" x14ac:dyDescent="0.35">
      <c r="A112" s="10">
        <f t="shared" si="1"/>
        <v>46250</v>
      </c>
    </row>
    <row r="113" spans="1:1" x14ac:dyDescent="0.35">
      <c r="A113" s="10">
        <f t="shared" si="1"/>
        <v>46251</v>
      </c>
    </row>
    <row r="114" spans="1:1" x14ac:dyDescent="0.35">
      <c r="A114" s="10">
        <f t="shared" si="1"/>
        <v>46252</v>
      </c>
    </row>
    <row r="115" spans="1:1" x14ac:dyDescent="0.35">
      <c r="A115" s="10">
        <f t="shared" si="1"/>
        <v>46253</v>
      </c>
    </row>
    <row r="116" spans="1:1" x14ac:dyDescent="0.35">
      <c r="A116" s="10">
        <f t="shared" si="1"/>
        <v>46254</v>
      </c>
    </row>
    <row r="117" spans="1:1" x14ac:dyDescent="0.35">
      <c r="A117" s="10">
        <f t="shared" si="1"/>
        <v>46255</v>
      </c>
    </row>
    <row r="118" spans="1:1" x14ac:dyDescent="0.35">
      <c r="A118" s="10">
        <f t="shared" si="1"/>
        <v>46256</v>
      </c>
    </row>
    <row r="119" spans="1:1" x14ac:dyDescent="0.35">
      <c r="A119" s="10">
        <f t="shared" si="1"/>
        <v>46257</v>
      </c>
    </row>
    <row r="120" spans="1:1" x14ac:dyDescent="0.35">
      <c r="A120" s="10">
        <f t="shared" si="1"/>
        <v>46258</v>
      </c>
    </row>
    <row r="121" spans="1:1" x14ac:dyDescent="0.35">
      <c r="A121" s="10">
        <f t="shared" si="1"/>
        <v>46259</v>
      </c>
    </row>
    <row r="122" spans="1:1" x14ac:dyDescent="0.35">
      <c r="A122" s="10">
        <f t="shared" si="1"/>
        <v>46260</v>
      </c>
    </row>
    <row r="123" spans="1:1" x14ac:dyDescent="0.35">
      <c r="A123" s="10">
        <f t="shared" si="1"/>
        <v>46261</v>
      </c>
    </row>
    <row r="124" spans="1:1" x14ac:dyDescent="0.35">
      <c r="A124" s="10">
        <f t="shared" si="1"/>
        <v>46262</v>
      </c>
    </row>
    <row r="125" spans="1:1" x14ac:dyDescent="0.35">
      <c r="A125" s="10">
        <f t="shared" si="1"/>
        <v>46263</v>
      </c>
    </row>
    <row r="126" spans="1:1" x14ac:dyDescent="0.35">
      <c r="A126" s="10">
        <f t="shared" si="1"/>
        <v>46264</v>
      </c>
    </row>
    <row r="127" spans="1:1" x14ac:dyDescent="0.35">
      <c r="A127" s="10">
        <f t="shared" si="1"/>
        <v>46265</v>
      </c>
    </row>
    <row r="128" spans="1:1" x14ac:dyDescent="0.35">
      <c r="A128" s="10">
        <f t="shared" si="1"/>
        <v>46266</v>
      </c>
    </row>
    <row r="129" spans="1:1" x14ac:dyDescent="0.35">
      <c r="A129" s="10">
        <f t="shared" si="1"/>
        <v>46267</v>
      </c>
    </row>
    <row r="130" spans="1:1" x14ac:dyDescent="0.35">
      <c r="A130" s="10">
        <f t="shared" si="1"/>
        <v>46268</v>
      </c>
    </row>
    <row r="131" spans="1:1" x14ac:dyDescent="0.35">
      <c r="A131" s="10">
        <f t="shared" si="1"/>
        <v>46269</v>
      </c>
    </row>
    <row r="132" spans="1:1" x14ac:dyDescent="0.35">
      <c r="A132" s="10">
        <f t="shared" si="1"/>
        <v>46270</v>
      </c>
    </row>
    <row r="133" spans="1:1" x14ac:dyDescent="0.35">
      <c r="A133" s="10">
        <f t="shared" si="1"/>
        <v>46271</v>
      </c>
    </row>
    <row r="134" spans="1:1" x14ac:dyDescent="0.35">
      <c r="A134" s="10">
        <f t="shared" si="1"/>
        <v>46272</v>
      </c>
    </row>
    <row r="135" spans="1:1" x14ac:dyDescent="0.35">
      <c r="A135" s="10">
        <f t="shared" ref="A135:A198" si="2">A134+1</f>
        <v>46273</v>
      </c>
    </row>
    <row r="136" spans="1:1" x14ac:dyDescent="0.35">
      <c r="A136" s="10">
        <f t="shared" si="2"/>
        <v>46274</v>
      </c>
    </row>
    <row r="137" spans="1:1" x14ac:dyDescent="0.35">
      <c r="A137" s="10">
        <f t="shared" si="2"/>
        <v>46275</v>
      </c>
    </row>
    <row r="138" spans="1:1" x14ac:dyDescent="0.35">
      <c r="A138" s="10">
        <f t="shared" si="2"/>
        <v>46276</v>
      </c>
    </row>
    <row r="139" spans="1:1" x14ac:dyDescent="0.35">
      <c r="A139" s="10">
        <f t="shared" si="2"/>
        <v>46277</v>
      </c>
    </row>
    <row r="140" spans="1:1" x14ac:dyDescent="0.35">
      <c r="A140" s="10">
        <f t="shared" si="2"/>
        <v>46278</v>
      </c>
    </row>
    <row r="141" spans="1:1" x14ac:dyDescent="0.35">
      <c r="A141" s="10">
        <f t="shared" si="2"/>
        <v>46279</v>
      </c>
    </row>
    <row r="142" spans="1:1" x14ac:dyDescent="0.35">
      <c r="A142" s="10">
        <f t="shared" si="2"/>
        <v>46280</v>
      </c>
    </row>
    <row r="143" spans="1:1" x14ac:dyDescent="0.35">
      <c r="A143" s="10">
        <f t="shared" si="2"/>
        <v>46281</v>
      </c>
    </row>
    <row r="144" spans="1:1" x14ac:dyDescent="0.35">
      <c r="A144" s="10">
        <f t="shared" si="2"/>
        <v>46282</v>
      </c>
    </row>
    <row r="145" spans="1:1" x14ac:dyDescent="0.35">
      <c r="A145" s="10">
        <f t="shared" si="2"/>
        <v>46283</v>
      </c>
    </row>
    <row r="146" spans="1:1" x14ac:dyDescent="0.35">
      <c r="A146" s="10">
        <f t="shared" si="2"/>
        <v>46284</v>
      </c>
    </row>
    <row r="147" spans="1:1" x14ac:dyDescent="0.35">
      <c r="A147" s="10">
        <f t="shared" si="2"/>
        <v>46285</v>
      </c>
    </row>
    <row r="148" spans="1:1" x14ac:dyDescent="0.35">
      <c r="A148" s="10">
        <f t="shared" si="2"/>
        <v>46286</v>
      </c>
    </row>
    <row r="149" spans="1:1" x14ac:dyDescent="0.35">
      <c r="A149" s="10">
        <f t="shared" si="2"/>
        <v>46287</v>
      </c>
    </row>
    <row r="150" spans="1:1" x14ac:dyDescent="0.35">
      <c r="A150" s="10">
        <f t="shared" si="2"/>
        <v>46288</v>
      </c>
    </row>
    <row r="151" spans="1:1" x14ac:dyDescent="0.35">
      <c r="A151" s="10">
        <f t="shared" si="2"/>
        <v>46289</v>
      </c>
    </row>
    <row r="152" spans="1:1" x14ac:dyDescent="0.35">
      <c r="A152" s="10">
        <f t="shared" si="2"/>
        <v>46290</v>
      </c>
    </row>
    <row r="153" spans="1:1" x14ac:dyDescent="0.35">
      <c r="A153" s="10">
        <f t="shared" si="2"/>
        <v>46291</v>
      </c>
    </row>
    <row r="154" spans="1:1" x14ac:dyDescent="0.35">
      <c r="A154" s="10">
        <f t="shared" si="2"/>
        <v>46292</v>
      </c>
    </row>
    <row r="155" spans="1:1" x14ac:dyDescent="0.35">
      <c r="A155" s="10">
        <f t="shared" si="2"/>
        <v>46293</v>
      </c>
    </row>
    <row r="156" spans="1:1" x14ac:dyDescent="0.35">
      <c r="A156" s="10">
        <f t="shared" si="2"/>
        <v>46294</v>
      </c>
    </row>
    <row r="157" spans="1:1" x14ac:dyDescent="0.35">
      <c r="A157" s="10">
        <f t="shared" si="2"/>
        <v>46295</v>
      </c>
    </row>
    <row r="158" spans="1:1" x14ac:dyDescent="0.35">
      <c r="A158" s="10">
        <f t="shared" si="2"/>
        <v>46296</v>
      </c>
    </row>
    <row r="159" spans="1:1" x14ac:dyDescent="0.35">
      <c r="A159" s="10">
        <f t="shared" si="2"/>
        <v>46297</v>
      </c>
    </row>
    <row r="160" spans="1:1" x14ac:dyDescent="0.35">
      <c r="A160" s="10">
        <f t="shared" si="2"/>
        <v>46298</v>
      </c>
    </row>
    <row r="161" spans="1:1" x14ac:dyDescent="0.35">
      <c r="A161" s="10">
        <f t="shared" si="2"/>
        <v>46299</v>
      </c>
    </row>
    <row r="162" spans="1:1" x14ac:dyDescent="0.35">
      <c r="A162" s="10">
        <f t="shared" si="2"/>
        <v>46300</v>
      </c>
    </row>
    <row r="163" spans="1:1" x14ac:dyDescent="0.35">
      <c r="A163" s="10">
        <f t="shared" si="2"/>
        <v>46301</v>
      </c>
    </row>
    <row r="164" spans="1:1" x14ac:dyDescent="0.35">
      <c r="A164" s="10">
        <f t="shared" si="2"/>
        <v>46302</v>
      </c>
    </row>
    <row r="165" spans="1:1" x14ac:dyDescent="0.35">
      <c r="A165" s="10">
        <f t="shared" si="2"/>
        <v>46303</v>
      </c>
    </row>
    <row r="166" spans="1:1" x14ac:dyDescent="0.35">
      <c r="A166" s="10">
        <f t="shared" si="2"/>
        <v>46304</v>
      </c>
    </row>
    <row r="167" spans="1:1" x14ac:dyDescent="0.35">
      <c r="A167" s="10">
        <f t="shared" si="2"/>
        <v>46305</v>
      </c>
    </row>
    <row r="168" spans="1:1" x14ac:dyDescent="0.35">
      <c r="A168" s="10">
        <f t="shared" si="2"/>
        <v>46306</v>
      </c>
    </row>
    <row r="169" spans="1:1" x14ac:dyDescent="0.35">
      <c r="A169" s="10">
        <f t="shared" si="2"/>
        <v>46307</v>
      </c>
    </row>
    <row r="170" spans="1:1" x14ac:dyDescent="0.35">
      <c r="A170" s="10">
        <f t="shared" si="2"/>
        <v>46308</v>
      </c>
    </row>
    <row r="171" spans="1:1" x14ac:dyDescent="0.35">
      <c r="A171" s="10">
        <f t="shared" si="2"/>
        <v>46309</v>
      </c>
    </row>
    <row r="172" spans="1:1" x14ac:dyDescent="0.35">
      <c r="A172" s="10">
        <f t="shared" si="2"/>
        <v>46310</v>
      </c>
    </row>
    <row r="173" spans="1:1" x14ac:dyDescent="0.35">
      <c r="A173" s="10">
        <f t="shared" si="2"/>
        <v>46311</v>
      </c>
    </row>
    <row r="174" spans="1:1" x14ac:dyDescent="0.35">
      <c r="A174" s="10">
        <f t="shared" si="2"/>
        <v>46312</v>
      </c>
    </row>
    <row r="175" spans="1:1" x14ac:dyDescent="0.35">
      <c r="A175" s="10">
        <f t="shared" si="2"/>
        <v>46313</v>
      </c>
    </row>
    <row r="176" spans="1:1" x14ac:dyDescent="0.35">
      <c r="A176" s="10">
        <f t="shared" si="2"/>
        <v>46314</v>
      </c>
    </row>
    <row r="177" spans="1:1" x14ac:dyDescent="0.35">
      <c r="A177" s="10">
        <f t="shared" si="2"/>
        <v>46315</v>
      </c>
    </row>
    <row r="178" spans="1:1" x14ac:dyDescent="0.35">
      <c r="A178" s="10">
        <f t="shared" si="2"/>
        <v>46316</v>
      </c>
    </row>
    <row r="179" spans="1:1" x14ac:dyDescent="0.35">
      <c r="A179" s="10">
        <f t="shared" si="2"/>
        <v>46317</v>
      </c>
    </row>
    <row r="180" spans="1:1" x14ac:dyDescent="0.35">
      <c r="A180" s="10">
        <f t="shared" si="2"/>
        <v>46318</v>
      </c>
    </row>
    <row r="181" spans="1:1" x14ac:dyDescent="0.35">
      <c r="A181" s="10">
        <f t="shared" si="2"/>
        <v>46319</v>
      </c>
    </row>
    <row r="182" spans="1:1" x14ac:dyDescent="0.35">
      <c r="A182" s="10">
        <f t="shared" si="2"/>
        <v>46320</v>
      </c>
    </row>
    <row r="183" spans="1:1" x14ac:dyDescent="0.35">
      <c r="A183" s="10">
        <f t="shared" si="2"/>
        <v>46321</v>
      </c>
    </row>
    <row r="184" spans="1:1" x14ac:dyDescent="0.35">
      <c r="A184" s="10">
        <f t="shared" si="2"/>
        <v>46322</v>
      </c>
    </row>
    <row r="185" spans="1:1" x14ac:dyDescent="0.35">
      <c r="A185" s="10">
        <f t="shared" si="2"/>
        <v>46323</v>
      </c>
    </row>
    <row r="186" spans="1:1" x14ac:dyDescent="0.35">
      <c r="A186" s="10">
        <f t="shared" si="2"/>
        <v>46324</v>
      </c>
    </row>
    <row r="187" spans="1:1" x14ac:dyDescent="0.35">
      <c r="A187" s="10">
        <f t="shared" si="2"/>
        <v>46325</v>
      </c>
    </row>
    <row r="188" spans="1:1" x14ac:dyDescent="0.35">
      <c r="A188" s="10">
        <f t="shared" si="2"/>
        <v>46326</v>
      </c>
    </row>
    <row r="189" spans="1:1" x14ac:dyDescent="0.35">
      <c r="A189" s="10">
        <f t="shared" si="2"/>
        <v>46327</v>
      </c>
    </row>
    <row r="190" spans="1:1" x14ac:dyDescent="0.35">
      <c r="A190" s="10">
        <f t="shared" si="2"/>
        <v>46328</v>
      </c>
    </row>
    <row r="191" spans="1:1" x14ac:dyDescent="0.35">
      <c r="A191" s="10">
        <f t="shared" si="2"/>
        <v>46329</v>
      </c>
    </row>
    <row r="192" spans="1:1" x14ac:dyDescent="0.35">
      <c r="A192" s="10">
        <f t="shared" si="2"/>
        <v>46330</v>
      </c>
    </row>
    <row r="193" spans="1:1" x14ac:dyDescent="0.35">
      <c r="A193" s="10">
        <f t="shared" si="2"/>
        <v>46331</v>
      </c>
    </row>
    <row r="194" spans="1:1" x14ac:dyDescent="0.35">
      <c r="A194" s="10">
        <f t="shared" si="2"/>
        <v>46332</v>
      </c>
    </row>
    <row r="195" spans="1:1" x14ac:dyDescent="0.35">
      <c r="A195" s="10">
        <f t="shared" si="2"/>
        <v>46333</v>
      </c>
    </row>
    <row r="196" spans="1:1" x14ac:dyDescent="0.35">
      <c r="A196" s="10">
        <f t="shared" si="2"/>
        <v>46334</v>
      </c>
    </row>
    <row r="197" spans="1:1" x14ac:dyDescent="0.35">
      <c r="A197" s="10">
        <f t="shared" si="2"/>
        <v>46335</v>
      </c>
    </row>
    <row r="198" spans="1:1" x14ac:dyDescent="0.35">
      <c r="A198" s="10">
        <f t="shared" si="2"/>
        <v>46336</v>
      </c>
    </row>
    <row r="199" spans="1:1" x14ac:dyDescent="0.35">
      <c r="A199" s="10">
        <f t="shared" ref="A199:A262" si="3">A198+1</f>
        <v>46337</v>
      </c>
    </row>
    <row r="200" spans="1:1" x14ac:dyDescent="0.35">
      <c r="A200" s="10">
        <f t="shared" si="3"/>
        <v>46338</v>
      </c>
    </row>
    <row r="201" spans="1:1" x14ac:dyDescent="0.35">
      <c r="A201" s="10">
        <f t="shared" si="3"/>
        <v>46339</v>
      </c>
    </row>
    <row r="202" spans="1:1" x14ac:dyDescent="0.35">
      <c r="A202" s="10">
        <f t="shared" si="3"/>
        <v>46340</v>
      </c>
    </row>
    <row r="203" spans="1:1" x14ac:dyDescent="0.35">
      <c r="A203" s="10">
        <f t="shared" si="3"/>
        <v>46341</v>
      </c>
    </row>
    <row r="204" spans="1:1" x14ac:dyDescent="0.35">
      <c r="A204" s="10">
        <f t="shared" si="3"/>
        <v>46342</v>
      </c>
    </row>
    <row r="205" spans="1:1" x14ac:dyDescent="0.35">
      <c r="A205" s="10">
        <f t="shared" si="3"/>
        <v>46343</v>
      </c>
    </row>
    <row r="206" spans="1:1" x14ac:dyDescent="0.35">
      <c r="A206" s="10">
        <f t="shared" si="3"/>
        <v>46344</v>
      </c>
    </row>
    <row r="207" spans="1:1" x14ac:dyDescent="0.35">
      <c r="A207" s="10">
        <f t="shared" si="3"/>
        <v>46345</v>
      </c>
    </row>
    <row r="208" spans="1:1" x14ac:dyDescent="0.35">
      <c r="A208" s="10">
        <f t="shared" si="3"/>
        <v>46346</v>
      </c>
    </row>
    <row r="209" spans="1:1" x14ac:dyDescent="0.35">
      <c r="A209" s="10">
        <f t="shared" si="3"/>
        <v>46347</v>
      </c>
    </row>
    <row r="210" spans="1:1" x14ac:dyDescent="0.35">
      <c r="A210" s="10">
        <f t="shared" si="3"/>
        <v>46348</v>
      </c>
    </row>
    <row r="211" spans="1:1" x14ac:dyDescent="0.35">
      <c r="A211" s="10">
        <f t="shared" si="3"/>
        <v>46349</v>
      </c>
    </row>
    <row r="212" spans="1:1" x14ac:dyDescent="0.35">
      <c r="A212" s="10">
        <f t="shared" si="3"/>
        <v>46350</v>
      </c>
    </row>
    <row r="213" spans="1:1" x14ac:dyDescent="0.35">
      <c r="A213" s="10">
        <f t="shared" si="3"/>
        <v>46351</v>
      </c>
    </row>
    <row r="214" spans="1:1" x14ac:dyDescent="0.35">
      <c r="A214" s="10">
        <f t="shared" si="3"/>
        <v>46352</v>
      </c>
    </row>
    <row r="215" spans="1:1" x14ac:dyDescent="0.35">
      <c r="A215" s="10">
        <f t="shared" si="3"/>
        <v>46353</v>
      </c>
    </row>
    <row r="216" spans="1:1" x14ac:dyDescent="0.35">
      <c r="A216" s="10">
        <f t="shared" si="3"/>
        <v>46354</v>
      </c>
    </row>
    <row r="217" spans="1:1" x14ac:dyDescent="0.35">
      <c r="A217" s="10">
        <f t="shared" si="3"/>
        <v>46355</v>
      </c>
    </row>
    <row r="218" spans="1:1" x14ac:dyDescent="0.35">
      <c r="A218" s="10">
        <f t="shared" si="3"/>
        <v>46356</v>
      </c>
    </row>
    <row r="219" spans="1:1" x14ac:dyDescent="0.35">
      <c r="A219" s="10">
        <f t="shared" si="3"/>
        <v>46357</v>
      </c>
    </row>
    <row r="220" spans="1:1" x14ac:dyDescent="0.35">
      <c r="A220" s="10">
        <f t="shared" si="3"/>
        <v>46358</v>
      </c>
    </row>
    <row r="221" spans="1:1" x14ac:dyDescent="0.35">
      <c r="A221" s="10">
        <f t="shared" si="3"/>
        <v>46359</v>
      </c>
    </row>
    <row r="222" spans="1:1" x14ac:dyDescent="0.35">
      <c r="A222" s="10">
        <f t="shared" si="3"/>
        <v>46360</v>
      </c>
    </row>
    <row r="223" spans="1:1" x14ac:dyDescent="0.35">
      <c r="A223" s="10">
        <f t="shared" si="3"/>
        <v>46361</v>
      </c>
    </row>
    <row r="224" spans="1:1" x14ac:dyDescent="0.35">
      <c r="A224" s="10">
        <f t="shared" si="3"/>
        <v>46362</v>
      </c>
    </row>
    <row r="225" spans="1:1" x14ac:dyDescent="0.35">
      <c r="A225" s="10">
        <f t="shared" si="3"/>
        <v>46363</v>
      </c>
    </row>
    <row r="226" spans="1:1" x14ac:dyDescent="0.35">
      <c r="A226" s="10">
        <f t="shared" si="3"/>
        <v>46364</v>
      </c>
    </row>
    <row r="227" spans="1:1" x14ac:dyDescent="0.35">
      <c r="A227" s="10">
        <f t="shared" si="3"/>
        <v>46365</v>
      </c>
    </row>
    <row r="228" spans="1:1" x14ac:dyDescent="0.35">
      <c r="A228" s="10">
        <f t="shared" si="3"/>
        <v>46366</v>
      </c>
    </row>
    <row r="229" spans="1:1" x14ac:dyDescent="0.35">
      <c r="A229" s="10">
        <f t="shared" si="3"/>
        <v>46367</v>
      </c>
    </row>
    <row r="230" spans="1:1" x14ac:dyDescent="0.35">
      <c r="A230" s="10">
        <f t="shared" si="3"/>
        <v>46368</v>
      </c>
    </row>
    <row r="231" spans="1:1" x14ac:dyDescent="0.35">
      <c r="A231" s="10">
        <f t="shared" si="3"/>
        <v>46369</v>
      </c>
    </row>
    <row r="232" spans="1:1" x14ac:dyDescent="0.35">
      <c r="A232" s="10">
        <f t="shared" si="3"/>
        <v>46370</v>
      </c>
    </row>
    <row r="233" spans="1:1" x14ac:dyDescent="0.35">
      <c r="A233" s="10">
        <f t="shared" si="3"/>
        <v>46371</v>
      </c>
    </row>
    <row r="234" spans="1:1" x14ac:dyDescent="0.35">
      <c r="A234" s="10">
        <f t="shared" si="3"/>
        <v>46372</v>
      </c>
    </row>
    <row r="235" spans="1:1" x14ac:dyDescent="0.35">
      <c r="A235" s="10">
        <f t="shared" si="3"/>
        <v>46373</v>
      </c>
    </row>
    <row r="236" spans="1:1" x14ac:dyDescent="0.35">
      <c r="A236" s="10">
        <f t="shared" si="3"/>
        <v>46374</v>
      </c>
    </row>
    <row r="237" spans="1:1" x14ac:dyDescent="0.35">
      <c r="A237" s="10">
        <f t="shared" si="3"/>
        <v>46375</v>
      </c>
    </row>
    <row r="238" spans="1:1" x14ac:dyDescent="0.35">
      <c r="A238" s="10">
        <f t="shared" si="3"/>
        <v>46376</v>
      </c>
    </row>
    <row r="239" spans="1:1" x14ac:dyDescent="0.35">
      <c r="A239" s="10">
        <f t="shared" si="3"/>
        <v>46377</v>
      </c>
    </row>
    <row r="240" spans="1:1" x14ac:dyDescent="0.35">
      <c r="A240" s="10">
        <f t="shared" si="3"/>
        <v>46378</v>
      </c>
    </row>
    <row r="241" spans="1:1" x14ac:dyDescent="0.35">
      <c r="A241" s="10">
        <f t="shared" si="3"/>
        <v>46379</v>
      </c>
    </row>
    <row r="242" spans="1:1" x14ac:dyDescent="0.35">
      <c r="A242" s="10">
        <f t="shared" si="3"/>
        <v>46380</v>
      </c>
    </row>
    <row r="243" spans="1:1" x14ac:dyDescent="0.35">
      <c r="A243" s="10">
        <f t="shared" si="3"/>
        <v>46381</v>
      </c>
    </row>
    <row r="244" spans="1:1" x14ac:dyDescent="0.35">
      <c r="A244" s="10">
        <f t="shared" si="3"/>
        <v>46382</v>
      </c>
    </row>
    <row r="245" spans="1:1" x14ac:dyDescent="0.35">
      <c r="A245" s="10">
        <f t="shared" si="3"/>
        <v>46383</v>
      </c>
    </row>
    <row r="246" spans="1:1" x14ac:dyDescent="0.35">
      <c r="A246" s="10">
        <f t="shared" si="3"/>
        <v>46384</v>
      </c>
    </row>
    <row r="247" spans="1:1" x14ac:dyDescent="0.35">
      <c r="A247" s="10">
        <f t="shared" si="3"/>
        <v>46385</v>
      </c>
    </row>
    <row r="248" spans="1:1" x14ac:dyDescent="0.35">
      <c r="A248" s="10">
        <f t="shared" si="3"/>
        <v>46386</v>
      </c>
    </row>
    <row r="249" spans="1:1" x14ac:dyDescent="0.35">
      <c r="A249" s="10">
        <f t="shared" si="3"/>
        <v>46387</v>
      </c>
    </row>
    <row r="250" spans="1:1" x14ac:dyDescent="0.35">
      <c r="A250" s="10">
        <f t="shared" si="3"/>
        <v>46388</v>
      </c>
    </row>
    <row r="251" spans="1:1" x14ac:dyDescent="0.35">
      <c r="A251" s="10">
        <f t="shared" si="3"/>
        <v>46389</v>
      </c>
    </row>
    <row r="252" spans="1:1" x14ac:dyDescent="0.35">
      <c r="A252" s="10">
        <f t="shared" si="3"/>
        <v>46390</v>
      </c>
    </row>
    <row r="253" spans="1:1" x14ac:dyDescent="0.35">
      <c r="A253" s="10">
        <f t="shared" si="3"/>
        <v>46391</v>
      </c>
    </row>
    <row r="254" spans="1:1" x14ac:dyDescent="0.35">
      <c r="A254" s="10">
        <f t="shared" si="3"/>
        <v>46392</v>
      </c>
    </row>
    <row r="255" spans="1:1" x14ac:dyDescent="0.35">
      <c r="A255" s="10">
        <f t="shared" si="3"/>
        <v>46393</v>
      </c>
    </row>
    <row r="256" spans="1:1" x14ac:dyDescent="0.35">
      <c r="A256" s="10">
        <f t="shared" si="3"/>
        <v>46394</v>
      </c>
    </row>
    <row r="257" spans="1:1" x14ac:dyDescent="0.35">
      <c r="A257" s="10">
        <f t="shared" si="3"/>
        <v>46395</v>
      </c>
    </row>
    <row r="258" spans="1:1" x14ac:dyDescent="0.35">
      <c r="A258" s="10">
        <f t="shared" si="3"/>
        <v>46396</v>
      </c>
    </row>
    <row r="259" spans="1:1" x14ac:dyDescent="0.35">
      <c r="A259" s="10">
        <f t="shared" si="3"/>
        <v>46397</v>
      </c>
    </row>
    <row r="260" spans="1:1" x14ac:dyDescent="0.35">
      <c r="A260" s="10">
        <f t="shared" si="3"/>
        <v>46398</v>
      </c>
    </row>
    <row r="261" spans="1:1" x14ac:dyDescent="0.35">
      <c r="A261" s="10">
        <f t="shared" si="3"/>
        <v>46399</v>
      </c>
    </row>
    <row r="262" spans="1:1" x14ac:dyDescent="0.35">
      <c r="A262" s="10">
        <f t="shared" si="3"/>
        <v>46400</v>
      </c>
    </row>
    <row r="263" spans="1:1" x14ac:dyDescent="0.35">
      <c r="A263" s="10">
        <f t="shared" ref="A263:A326" si="4">A262+1</f>
        <v>46401</v>
      </c>
    </row>
    <row r="264" spans="1:1" x14ac:dyDescent="0.35">
      <c r="A264" s="10">
        <f t="shared" si="4"/>
        <v>46402</v>
      </c>
    </row>
    <row r="265" spans="1:1" x14ac:dyDescent="0.35">
      <c r="A265" s="10">
        <f t="shared" si="4"/>
        <v>46403</v>
      </c>
    </row>
    <row r="266" spans="1:1" x14ac:dyDescent="0.35">
      <c r="A266" s="10">
        <f t="shared" si="4"/>
        <v>46404</v>
      </c>
    </row>
    <row r="267" spans="1:1" x14ac:dyDescent="0.35">
      <c r="A267" s="10">
        <f t="shared" si="4"/>
        <v>46405</v>
      </c>
    </row>
    <row r="268" spans="1:1" x14ac:dyDescent="0.35">
      <c r="A268" s="10">
        <f t="shared" si="4"/>
        <v>46406</v>
      </c>
    </row>
    <row r="269" spans="1:1" x14ac:dyDescent="0.35">
      <c r="A269" s="10">
        <f t="shared" si="4"/>
        <v>46407</v>
      </c>
    </row>
    <row r="270" spans="1:1" x14ac:dyDescent="0.35">
      <c r="A270" s="10">
        <f t="shared" si="4"/>
        <v>46408</v>
      </c>
    </row>
    <row r="271" spans="1:1" x14ac:dyDescent="0.35">
      <c r="A271" s="10">
        <f t="shared" si="4"/>
        <v>46409</v>
      </c>
    </row>
    <row r="272" spans="1:1" x14ac:dyDescent="0.35">
      <c r="A272" s="10">
        <f t="shared" si="4"/>
        <v>46410</v>
      </c>
    </row>
    <row r="273" spans="1:1" x14ac:dyDescent="0.35">
      <c r="A273" s="10">
        <f t="shared" si="4"/>
        <v>46411</v>
      </c>
    </row>
    <row r="274" spans="1:1" x14ac:dyDescent="0.35">
      <c r="A274" s="10">
        <f t="shared" si="4"/>
        <v>46412</v>
      </c>
    </row>
    <row r="275" spans="1:1" x14ac:dyDescent="0.35">
      <c r="A275" s="10">
        <f t="shared" si="4"/>
        <v>46413</v>
      </c>
    </row>
    <row r="276" spans="1:1" x14ac:dyDescent="0.35">
      <c r="A276" s="10">
        <f t="shared" si="4"/>
        <v>46414</v>
      </c>
    </row>
    <row r="277" spans="1:1" x14ac:dyDescent="0.35">
      <c r="A277" s="10">
        <f t="shared" si="4"/>
        <v>46415</v>
      </c>
    </row>
    <row r="278" spans="1:1" x14ac:dyDescent="0.35">
      <c r="A278" s="10">
        <f t="shared" si="4"/>
        <v>46416</v>
      </c>
    </row>
    <row r="279" spans="1:1" x14ac:dyDescent="0.35">
      <c r="A279" s="10">
        <f t="shared" si="4"/>
        <v>46417</v>
      </c>
    </row>
    <row r="280" spans="1:1" x14ac:dyDescent="0.35">
      <c r="A280" s="10">
        <f t="shared" si="4"/>
        <v>46418</v>
      </c>
    </row>
    <row r="281" spans="1:1" x14ac:dyDescent="0.35">
      <c r="A281" s="10">
        <f t="shared" si="4"/>
        <v>46419</v>
      </c>
    </row>
    <row r="282" spans="1:1" x14ac:dyDescent="0.35">
      <c r="A282" s="10">
        <f t="shared" si="4"/>
        <v>46420</v>
      </c>
    </row>
    <row r="283" spans="1:1" x14ac:dyDescent="0.35">
      <c r="A283" s="10">
        <f t="shared" si="4"/>
        <v>46421</v>
      </c>
    </row>
    <row r="284" spans="1:1" x14ac:dyDescent="0.35">
      <c r="A284" s="10">
        <f t="shared" si="4"/>
        <v>46422</v>
      </c>
    </row>
    <row r="285" spans="1:1" x14ac:dyDescent="0.35">
      <c r="A285" s="10">
        <f t="shared" si="4"/>
        <v>46423</v>
      </c>
    </row>
    <row r="286" spans="1:1" x14ac:dyDescent="0.35">
      <c r="A286" s="10">
        <f t="shared" si="4"/>
        <v>46424</v>
      </c>
    </row>
    <row r="287" spans="1:1" x14ac:dyDescent="0.35">
      <c r="A287" s="10">
        <f t="shared" si="4"/>
        <v>46425</v>
      </c>
    </row>
    <row r="288" spans="1:1" x14ac:dyDescent="0.35">
      <c r="A288" s="10">
        <f t="shared" si="4"/>
        <v>46426</v>
      </c>
    </row>
    <row r="289" spans="1:1" x14ac:dyDescent="0.35">
      <c r="A289" s="10">
        <f t="shared" si="4"/>
        <v>46427</v>
      </c>
    </row>
    <row r="290" spans="1:1" x14ac:dyDescent="0.35">
      <c r="A290" s="10">
        <f t="shared" si="4"/>
        <v>46428</v>
      </c>
    </row>
    <row r="291" spans="1:1" x14ac:dyDescent="0.35">
      <c r="A291" s="10">
        <f t="shared" si="4"/>
        <v>46429</v>
      </c>
    </row>
    <row r="292" spans="1:1" x14ac:dyDescent="0.35">
      <c r="A292" s="10">
        <f t="shared" si="4"/>
        <v>46430</v>
      </c>
    </row>
    <row r="293" spans="1:1" x14ac:dyDescent="0.35">
      <c r="A293" s="10">
        <f t="shared" si="4"/>
        <v>46431</v>
      </c>
    </row>
    <row r="294" spans="1:1" x14ac:dyDescent="0.35">
      <c r="A294" s="10">
        <f t="shared" si="4"/>
        <v>46432</v>
      </c>
    </row>
    <row r="295" spans="1:1" x14ac:dyDescent="0.35">
      <c r="A295" s="10">
        <f t="shared" si="4"/>
        <v>46433</v>
      </c>
    </row>
    <row r="296" spans="1:1" x14ac:dyDescent="0.35">
      <c r="A296" s="10">
        <f t="shared" si="4"/>
        <v>46434</v>
      </c>
    </row>
    <row r="297" spans="1:1" x14ac:dyDescent="0.35">
      <c r="A297" s="10">
        <f t="shared" si="4"/>
        <v>46435</v>
      </c>
    </row>
    <row r="298" spans="1:1" x14ac:dyDescent="0.35">
      <c r="A298" s="10">
        <f t="shared" si="4"/>
        <v>46436</v>
      </c>
    </row>
    <row r="299" spans="1:1" x14ac:dyDescent="0.35">
      <c r="A299" s="10">
        <f t="shared" si="4"/>
        <v>46437</v>
      </c>
    </row>
    <row r="300" spans="1:1" x14ac:dyDescent="0.35">
      <c r="A300" s="10">
        <f t="shared" si="4"/>
        <v>46438</v>
      </c>
    </row>
    <row r="301" spans="1:1" x14ac:dyDescent="0.35">
      <c r="A301" s="10">
        <f t="shared" si="4"/>
        <v>46439</v>
      </c>
    </row>
    <row r="302" spans="1:1" x14ac:dyDescent="0.35">
      <c r="A302" s="10">
        <f t="shared" si="4"/>
        <v>46440</v>
      </c>
    </row>
    <row r="303" spans="1:1" x14ac:dyDescent="0.35">
      <c r="A303" s="10">
        <f t="shared" si="4"/>
        <v>46441</v>
      </c>
    </row>
    <row r="304" spans="1:1" x14ac:dyDescent="0.35">
      <c r="A304" s="10">
        <f t="shared" si="4"/>
        <v>46442</v>
      </c>
    </row>
    <row r="305" spans="1:1" x14ac:dyDescent="0.35">
      <c r="A305" s="10">
        <f t="shared" si="4"/>
        <v>46443</v>
      </c>
    </row>
    <row r="306" spans="1:1" x14ac:dyDescent="0.35">
      <c r="A306" s="10">
        <f t="shared" si="4"/>
        <v>46444</v>
      </c>
    </row>
    <row r="307" spans="1:1" x14ac:dyDescent="0.35">
      <c r="A307" s="10">
        <f t="shared" si="4"/>
        <v>46445</v>
      </c>
    </row>
    <row r="308" spans="1:1" x14ac:dyDescent="0.35">
      <c r="A308" s="10">
        <f t="shared" si="4"/>
        <v>46446</v>
      </c>
    </row>
    <row r="309" spans="1:1" x14ac:dyDescent="0.35">
      <c r="A309" s="10">
        <f t="shared" si="4"/>
        <v>46447</v>
      </c>
    </row>
    <row r="310" spans="1:1" x14ac:dyDescent="0.35">
      <c r="A310" s="10">
        <f t="shared" si="4"/>
        <v>46448</v>
      </c>
    </row>
    <row r="311" spans="1:1" x14ac:dyDescent="0.35">
      <c r="A311" s="10">
        <f t="shared" si="4"/>
        <v>46449</v>
      </c>
    </row>
    <row r="312" spans="1:1" x14ac:dyDescent="0.35">
      <c r="A312" s="10">
        <f t="shared" si="4"/>
        <v>46450</v>
      </c>
    </row>
    <row r="313" spans="1:1" x14ac:dyDescent="0.35">
      <c r="A313" s="10">
        <f t="shared" si="4"/>
        <v>46451</v>
      </c>
    </row>
    <row r="314" spans="1:1" x14ac:dyDescent="0.35">
      <c r="A314" s="10">
        <f t="shared" si="4"/>
        <v>46452</v>
      </c>
    </row>
    <row r="315" spans="1:1" x14ac:dyDescent="0.35">
      <c r="A315" s="10">
        <f t="shared" si="4"/>
        <v>46453</v>
      </c>
    </row>
    <row r="316" spans="1:1" x14ac:dyDescent="0.35">
      <c r="A316" s="10">
        <f t="shared" si="4"/>
        <v>46454</v>
      </c>
    </row>
    <row r="317" spans="1:1" x14ac:dyDescent="0.35">
      <c r="A317" s="10">
        <f t="shared" si="4"/>
        <v>46455</v>
      </c>
    </row>
    <row r="318" spans="1:1" x14ac:dyDescent="0.35">
      <c r="A318" s="10">
        <f t="shared" si="4"/>
        <v>46456</v>
      </c>
    </row>
    <row r="319" spans="1:1" x14ac:dyDescent="0.35">
      <c r="A319" s="10">
        <f t="shared" si="4"/>
        <v>46457</v>
      </c>
    </row>
    <row r="320" spans="1:1" x14ac:dyDescent="0.35">
      <c r="A320" s="10">
        <f t="shared" si="4"/>
        <v>46458</v>
      </c>
    </row>
    <row r="321" spans="1:1" x14ac:dyDescent="0.35">
      <c r="A321" s="10">
        <f t="shared" si="4"/>
        <v>46459</v>
      </c>
    </row>
    <row r="322" spans="1:1" x14ac:dyDescent="0.35">
      <c r="A322" s="10">
        <f t="shared" si="4"/>
        <v>46460</v>
      </c>
    </row>
    <row r="323" spans="1:1" x14ac:dyDescent="0.35">
      <c r="A323" s="10">
        <f t="shared" si="4"/>
        <v>46461</v>
      </c>
    </row>
    <row r="324" spans="1:1" x14ac:dyDescent="0.35">
      <c r="A324" s="10">
        <f t="shared" si="4"/>
        <v>46462</v>
      </c>
    </row>
    <row r="325" spans="1:1" x14ac:dyDescent="0.35">
      <c r="A325" s="10">
        <f t="shared" si="4"/>
        <v>46463</v>
      </c>
    </row>
    <row r="326" spans="1:1" x14ac:dyDescent="0.35">
      <c r="A326" s="10">
        <f t="shared" si="4"/>
        <v>46464</v>
      </c>
    </row>
    <row r="327" spans="1:1" x14ac:dyDescent="0.35">
      <c r="A327" s="10">
        <f t="shared" ref="A327:A390" si="5">A326+1</f>
        <v>46465</v>
      </c>
    </row>
    <row r="328" spans="1:1" x14ac:dyDescent="0.35">
      <c r="A328" s="10">
        <f t="shared" si="5"/>
        <v>46466</v>
      </c>
    </row>
    <row r="329" spans="1:1" x14ac:dyDescent="0.35">
      <c r="A329" s="10">
        <f t="shared" si="5"/>
        <v>46467</v>
      </c>
    </row>
    <row r="330" spans="1:1" x14ac:dyDescent="0.35">
      <c r="A330" s="10">
        <f t="shared" si="5"/>
        <v>46468</v>
      </c>
    </row>
    <row r="331" spans="1:1" x14ac:dyDescent="0.35">
      <c r="A331" s="10">
        <f t="shared" si="5"/>
        <v>46469</v>
      </c>
    </row>
    <row r="332" spans="1:1" x14ac:dyDescent="0.35">
      <c r="A332" s="10">
        <f t="shared" si="5"/>
        <v>46470</v>
      </c>
    </row>
    <row r="333" spans="1:1" x14ac:dyDescent="0.35">
      <c r="A333" s="10">
        <f t="shared" si="5"/>
        <v>46471</v>
      </c>
    </row>
    <row r="334" spans="1:1" x14ac:dyDescent="0.35">
      <c r="A334" s="10">
        <f t="shared" si="5"/>
        <v>46472</v>
      </c>
    </row>
    <row r="335" spans="1:1" x14ac:dyDescent="0.35">
      <c r="A335" s="10">
        <f t="shared" si="5"/>
        <v>46473</v>
      </c>
    </row>
    <row r="336" spans="1:1" x14ac:dyDescent="0.35">
      <c r="A336" s="10">
        <f t="shared" si="5"/>
        <v>46474</v>
      </c>
    </row>
    <row r="337" spans="1:1" x14ac:dyDescent="0.35">
      <c r="A337" s="10">
        <f t="shared" si="5"/>
        <v>46475</v>
      </c>
    </row>
    <row r="338" spans="1:1" x14ac:dyDescent="0.35">
      <c r="A338" s="10">
        <f t="shared" si="5"/>
        <v>46476</v>
      </c>
    </row>
    <row r="339" spans="1:1" x14ac:dyDescent="0.35">
      <c r="A339" s="10">
        <f t="shared" si="5"/>
        <v>46477</v>
      </c>
    </row>
    <row r="340" spans="1:1" x14ac:dyDescent="0.35">
      <c r="A340" s="10">
        <f t="shared" si="5"/>
        <v>46478</v>
      </c>
    </row>
    <row r="341" spans="1:1" x14ac:dyDescent="0.35">
      <c r="A341" s="10">
        <f t="shared" si="5"/>
        <v>46479</v>
      </c>
    </row>
    <row r="342" spans="1:1" x14ac:dyDescent="0.35">
      <c r="A342" s="10">
        <f t="shared" si="5"/>
        <v>46480</v>
      </c>
    </row>
    <row r="343" spans="1:1" x14ac:dyDescent="0.35">
      <c r="A343" s="10">
        <f t="shared" si="5"/>
        <v>46481</v>
      </c>
    </row>
    <row r="344" spans="1:1" x14ac:dyDescent="0.35">
      <c r="A344" s="10">
        <f t="shared" si="5"/>
        <v>46482</v>
      </c>
    </row>
    <row r="345" spans="1:1" x14ac:dyDescent="0.35">
      <c r="A345" s="10">
        <f t="shared" si="5"/>
        <v>46483</v>
      </c>
    </row>
    <row r="346" spans="1:1" x14ac:dyDescent="0.35">
      <c r="A346" s="10">
        <f t="shared" si="5"/>
        <v>46484</v>
      </c>
    </row>
    <row r="347" spans="1:1" x14ac:dyDescent="0.35">
      <c r="A347" s="10">
        <f t="shared" si="5"/>
        <v>46485</v>
      </c>
    </row>
    <row r="348" spans="1:1" x14ac:dyDescent="0.35">
      <c r="A348" s="10">
        <f t="shared" si="5"/>
        <v>46486</v>
      </c>
    </row>
    <row r="349" spans="1:1" x14ac:dyDescent="0.35">
      <c r="A349" s="10">
        <f t="shared" si="5"/>
        <v>46487</v>
      </c>
    </row>
    <row r="350" spans="1:1" x14ac:dyDescent="0.35">
      <c r="A350" s="10">
        <f t="shared" si="5"/>
        <v>46488</v>
      </c>
    </row>
    <row r="351" spans="1:1" x14ac:dyDescent="0.35">
      <c r="A351" s="10">
        <f t="shared" si="5"/>
        <v>46489</v>
      </c>
    </row>
    <row r="352" spans="1:1" x14ac:dyDescent="0.35">
      <c r="A352" s="10">
        <f t="shared" si="5"/>
        <v>46490</v>
      </c>
    </row>
    <row r="353" spans="1:1" x14ac:dyDescent="0.35">
      <c r="A353" s="10">
        <f t="shared" si="5"/>
        <v>46491</v>
      </c>
    </row>
    <row r="354" spans="1:1" x14ac:dyDescent="0.35">
      <c r="A354" s="10">
        <f t="shared" si="5"/>
        <v>46492</v>
      </c>
    </row>
    <row r="355" spans="1:1" x14ac:dyDescent="0.35">
      <c r="A355" s="10">
        <f t="shared" si="5"/>
        <v>46493</v>
      </c>
    </row>
    <row r="356" spans="1:1" x14ac:dyDescent="0.35">
      <c r="A356" s="10">
        <f t="shared" si="5"/>
        <v>46494</v>
      </c>
    </row>
    <row r="357" spans="1:1" x14ac:dyDescent="0.35">
      <c r="A357" s="10">
        <f t="shared" si="5"/>
        <v>46495</v>
      </c>
    </row>
    <row r="358" spans="1:1" x14ac:dyDescent="0.35">
      <c r="A358" s="10">
        <f t="shared" si="5"/>
        <v>46496</v>
      </c>
    </row>
    <row r="359" spans="1:1" x14ac:dyDescent="0.35">
      <c r="A359" s="10">
        <f t="shared" si="5"/>
        <v>46497</v>
      </c>
    </row>
    <row r="360" spans="1:1" x14ac:dyDescent="0.35">
      <c r="A360" s="10">
        <f t="shared" si="5"/>
        <v>46498</v>
      </c>
    </row>
    <row r="361" spans="1:1" x14ac:dyDescent="0.35">
      <c r="A361" s="10">
        <f t="shared" si="5"/>
        <v>46499</v>
      </c>
    </row>
    <row r="362" spans="1:1" x14ac:dyDescent="0.35">
      <c r="A362" s="10">
        <f t="shared" si="5"/>
        <v>46500</v>
      </c>
    </row>
    <row r="363" spans="1:1" x14ac:dyDescent="0.35">
      <c r="A363" s="10">
        <f t="shared" si="5"/>
        <v>46501</v>
      </c>
    </row>
    <row r="364" spans="1:1" x14ac:dyDescent="0.35">
      <c r="A364" s="10">
        <f t="shared" si="5"/>
        <v>46502</v>
      </c>
    </row>
    <row r="365" spans="1:1" x14ac:dyDescent="0.35">
      <c r="A365" s="10">
        <f t="shared" si="5"/>
        <v>46503</v>
      </c>
    </row>
    <row r="366" spans="1:1" x14ac:dyDescent="0.35">
      <c r="A366" s="10">
        <f t="shared" si="5"/>
        <v>46504</v>
      </c>
    </row>
    <row r="367" spans="1:1" x14ac:dyDescent="0.35">
      <c r="A367" s="10">
        <f t="shared" si="5"/>
        <v>46505</v>
      </c>
    </row>
    <row r="368" spans="1:1" x14ac:dyDescent="0.35">
      <c r="A368" s="10">
        <f t="shared" si="5"/>
        <v>46506</v>
      </c>
    </row>
    <row r="369" spans="1:1" x14ac:dyDescent="0.35">
      <c r="A369" s="10">
        <f t="shared" si="5"/>
        <v>46507</v>
      </c>
    </row>
    <row r="370" spans="1:1" x14ac:dyDescent="0.35">
      <c r="A370" s="10">
        <f t="shared" si="5"/>
        <v>46508</v>
      </c>
    </row>
    <row r="371" spans="1:1" x14ac:dyDescent="0.35">
      <c r="A371" s="10">
        <f t="shared" si="5"/>
        <v>46509</v>
      </c>
    </row>
    <row r="372" spans="1:1" x14ac:dyDescent="0.35">
      <c r="A372" s="10">
        <f t="shared" si="5"/>
        <v>46510</v>
      </c>
    </row>
    <row r="373" spans="1:1" x14ac:dyDescent="0.35">
      <c r="A373" s="10">
        <f t="shared" si="5"/>
        <v>46511</v>
      </c>
    </row>
    <row r="374" spans="1:1" x14ac:dyDescent="0.35">
      <c r="A374" s="10">
        <f t="shared" si="5"/>
        <v>46512</v>
      </c>
    </row>
    <row r="375" spans="1:1" x14ac:dyDescent="0.35">
      <c r="A375" s="10">
        <f t="shared" si="5"/>
        <v>46513</v>
      </c>
    </row>
    <row r="376" spans="1:1" x14ac:dyDescent="0.35">
      <c r="A376" s="10">
        <f t="shared" si="5"/>
        <v>46514</v>
      </c>
    </row>
    <row r="377" spans="1:1" x14ac:dyDescent="0.35">
      <c r="A377" s="10">
        <f t="shared" si="5"/>
        <v>46515</v>
      </c>
    </row>
    <row r="378" spans="1:1" x14ac:dyDescent="0.35">
      <c r="A378" s="10">
        <f t="shared" si="5"/>
        <v>46516</v>
      </c>
    </row>
    <row r="379" spans="1:1" x14ac:dyDescent="0.35">
      <c r="A379" s="10">
        <f t="shared" si="5"/>
        <v>46517</v>
      </c>
    </row>
    <row r="380" spans="1:1" x14ac:dyDescent="0.35">
      <c r="A380" s="10">
        <f t="shared" si="5"/>
        <v>46518</v>
      </c>
    </row>
    <row r="381" spans="1:1" x14ac:dyDescent="0.35">
      <c r="A381" s="10">
        <f t="shared" si="5"/>
        <v>46519</v>
      </c>
    </row>
    <row r="382" spans="1:1" x14ac:dyDescent="0.35">
      <c r="A382" s="10">
        <f t="shared" si="5"/>
        <v>46520</v>
      </c>
    </row>
    <row r="383" spans="1:1" x14ac:dyDescent="0.35">
      <c r="A383" s="10">
        <f t="shared" si="5"/>
        <v>46521</v>
      </c>
    </row>
    <row r="384" spans="1:1" x14ac:dyDescent="0.35">
      <c r="A384" s="10">
        <f t="shared" si="5"/>
        <v>46522</v>
      </c>
    </row>
    <row r="385" spans="1:1" x14ac:dyDescent="0.35">
      <c r="A385" s="10">
        <f t="shared" si="5"/>
        <v>46523</v>
      </c>
    </row>
    <row r="386" spans="1:1" x14ac:dyDescent="0.35">
      <c r="A386" s="10">
        <f t="shared" si="5"/>
        <v>46524</v>
      </c>
    </row>
    <row r="387" spans="1:1" x14ac:dyDescent="0.35">
      <c r="A387" s="10">
        <f t="shared" si="5"/>
        <v>46525</v>
      </c>
    </row>
    <row r="388" spans="1:1" x14ac:dyDescent="0.35">
      <c r="A388" s="10">
        <f t="shared" si="5"/>
        <v>46526</v>
      </c>
    </row>
    <row r="389" spans="1:1" x14ac:dyDescent="0.35">
      <c r="A389" s="10">
        <f t="shared" si="5"/>
        <v>46527</v>
      </c>
    </row>
    <row r="390" spans="1:1" x14ac:dyDescent="0.35">
      <c r="A390" s="10">
        <f t="shared" si="5"/>
        <v>46528</v>
      </c>
    </row>
    <row r="391" spans="1:1" x14ac:dyDescent="0.35">
      <c r="A391" s="10">
        <f t="shared" ref="A391:A454" si="6">A390+1</f>
        <v>46529</v>
      </c>
    </row>
    <row r="392" spans="1:1" x14ac:dyDescent="0.35">
      <c r="A392" s="10">
        <f t="shared" si="6"/>
        <v>46530</v>
      </c>
    </row>
    <row r="393" spans="1:1" x14ac:dyDescent="0.35">
      <c r="A393" s="10">
        <f t="shared" si="6"/>
        <v>46531</v>
      </c>
    </row>
    <row r="394" spans="1:1" x14ac:dyDescent="0.35">
      <c r="A394" s="10">
        <f t="shared" si="6"/>
        <v>46532</v>
      </c>
    </row>
    <row r="395" spans="1:1" x14ac:dyDescent="0.35">
      <c r="A395" s="10">
        <f t="shared" si="6"/>
        <v>46533</v>
      </c>
    </row>
    <row r="396" spans="1:1" x14ac:dyDescent="0.35">
      <c r="A396" s="10">
        <f t="shared" si="6"/>
        <v>46534</v>
      </c>
    </row>
    <row r="397" spans="1:1" x14ac:dyDescent="0.35">
      <c r="A397" s="10">
        <f t="shared" si="6"/>
        <v>46535</v>
      </c>
    </row>
    <row r="398" spans="1:1" x14ac:dyDescent="0.35">
      <c r="A398" s="10">
        <f t="shared" si="6"/>
        <v>46536</v>
      </c>
    </row>
    <row r="399" spans="1:1" x14ac:dyDescent="0.35">
      <c r="A399" s="10">
        <f t="shared" si="6"/>
        <v>46537</v>
      </c>
    </row>
    <row r="400" spans="1:1" x14ac:dyDescent="0.35">
      <c r="A400" s="10">
        <f t="shared" si="6"/>
        <v>46538</v>
      </c>
    </row>
    <row r="401" spans="1:1" x14ac:dyDescent="0.35">
      <c r="A401" s="10">
        <f t="shared" si="6"/>
        <v>46539</v>
      </c>
    </row>
    <row r="402" spans="1:1" x14ac:dyDescent="0.35">
      <c r="A402" s="10">
        <f t="shared" si="6"/>
        <v>46540</v>
      </c>
    </row>
    <row r="403" spans="1:1" x14ac:dyDescent="0.35">
      <c r="A403" s="10">
        <f t="shared" si="6"/>
        <v>46541</v>
      </c>
    </row>
    <row r="404" spans="1:1" x14ac:dyDescent="0.35">
      <c r="A404" s="10">
        <f t="shared" si="6"/>
        <v>46542</v>
      </c>
    </row>
    <row r="405" spans="1:1" x14ac:dyDescent="0.35">
      <c r="A405" s="10">
        <f t="shared" si="6"/>
        <v>46543</v>
      </c>
    </row>
    <row r="406" spans="1:1" x14ac:dyDescent="0.35">
      <c r="A406" s="10">
        <f t="shared" si="6"/>
        <v>46544</v>
      </c>
    </row>
    <row r="407" spans="1:1" x14ac:dyDescent="0.35">
      <c r="A407" s="10">
        <f t="shared" si="6"/>
        <v>46545</v>
      </c>
    </row>
    <row r="408" spans="1:1" x14ac:dyDescent="0.35">
      <c r="A408" s="10">
        <f t="shared" si="6"/>
        <v>46546</v>
      </c>
    </row>
    <row r="409" spans="1:1" x14ac:dyDescent="0.35">
      <c r="A409" s="10">
        <f t="shared" si="6"/>
        <v>46547</v>
      </c>
    </row>
    <row r="410" spans="1:1" x14ac:dyDescent="0.35">
      <c r="A410" s="10">
        <f t="shared" si="6"/>
        <v>46548</v>
      </c>
    </row>
    <row r="411" spans="1:1" x14ac:dyDescent="0.35">
      <c r="A411" s="10">
        <f t="shared" si="6"/>
        <v>46549</v>
      </c>
    </row>
    <row r="412" spans="1:1" x14ac:dyDescent="0.35">
      <c r="A412" s="10">
        <f t="shared" si="6"/>
        <v>46550</v>
      </c>
    </row>
    <row r="413" spans="1:1" x14ac:dyDescent="0.35">
      <c r="A413" s="10">
        <f t="shared" si="6"/>
        <v>46551</v>
      </c>
    </row>
    <row r="414" spans="1:1" x14ac:dyDescent="0.35">
      <c r="A414" s="10">
        <f t="shared" si="6"/>
        <v>46552</v>
      </c>
    </row>
    <row r="415" spans="1:1" x14ac:dyDescent="0.35">
      <c r="A415" s="10">
        <f t="shared" si="6"/>
        <v>46553</v>
      </c>
    </row>
    <row r="416" spans="1:1" x14ac:dyDescent="0.35">
      <c r="A416" s="10">
        <f t="shared" si="6"/>
        <v>46554</v>
      </c>
    </row>
    <row r="417" spans="1:1" x14ac:dyDescent="0.35">
      <c r="A417" s="10">
        <f t="shared" si="6"/>
        <v>46555</v>
      </c>
    </row>
    <row r="418" spans="1:1" x14ac:dyDescent="0.35">
      <c r="A418" s="10">
        <f t="shared" si="6"/>
        <v>46556</v>
      </c>
    </row>
    <row r="419" spans="1:1" x14ac:dyDescent="0.35">
      <c r="A419" s="10">
        <f t="shared" si="6"/>
        <v>46557</v>
      </c>
    </row>
    <row r="420" spans="1:1" x14ac:dyDescent="0.35">
      <c r="A420" s="10">
        <f t="shared" si="6"/>
        <v>46558</v>
      </c>
    </row>
    <row r="421" spans="1:1" x14ac:dyDescent="0.35">
      <c r="A421" s="10">
        <f t="shared" si="6"/>
        <v>46559</v>
      </c>
    </row>
    <row r="422" spans="1:1" x14ac:dyDescent="0.35">
      <c r="A422" s="10">
        <f t="shared" si="6"/>
        <v>46560</v>
      </c>
    </row>
    <row r="423" spans="1:1" x14ac:dyDescent="0.35">
      <c r="A423" s="10">
        <f t="shared" si="6"/>
        <v>46561</v>
      </c>
    </row>
    <row r="424" spans="1:1" x14ac:dyDescent="0.35">
      <c r="A424" s="10">
        <f t="shared" si="6"/>
        <v>46562</v>
      </c>
    </row>
    <row r="425" spans="1:1" x14ac:dyDescent="0.35">
      <c r="A425" s="10">
        <f t="shared" si="6"/>
        <v>46563</v>
      </c>
    </row>
    <row r="426" spans="1:1" x14ac:dyDescent="0.35">
      <c r="A426" s="10">
        <f t="shared" si="6"/>
        <v>46564</v>
      </c>
    </row>
    <row r="427" spans="1:1" x14ac:dyDescent="0.35">
      <c r="A427" s="10">
        <f t="shared" si="6"/>
        <v>46565</v>
      </c>
    </row>
    <row r="428" spans="1:1" x14ac:dyDescent="0.35">
      <c r="A428" s="10">
        <f t="shared" si="6"/>
        <v>46566</v>
      </c>
    </row>
    <row r="429" spans="1:1" x14ac:dyDescent="0.35">
      <c r="A429" s="10">
        <f t="shared" si="6"/>
        <v>46567</v>
      </c>
    </row>
    <row r="430" spans="1:1" x14ac:dyDescent="0.35">
      <c r="A430" s="10">
        <f t="shared" si="6"/>
        <v>46568</v>
      </c>
    </row>
    <row r="431" spans="1:1" x14ac:dyDescent="0.35">
      <c r="A431" s="10">
        <f t="shared" si="6"/>
        <v>46569</v>
      </c>
    </row>
    <row r="432" spans="1:1" x14ac:dyDescent="0.35">
      <c r="A432" s="10">
        <f t="shared" si="6"/>
        <v>46570</v>
      </c>
    </row>
    <row r="433" spans="1:1" x14ac:dyDescent="0.35">
      <c r="A433" s="10">
        <f t="shared" si="6"/>
        <v>46571</v>
      </c>
    </row>
    <row r="434" spans="1:1" x14ac:dyDescent="0.35">
      <c r="A434" s="10">
        <f t="shared" si="6"/>
        <v>46572</v>
      </c>
    </row>
    <row r="435" spans="1:1" x14ac:dyDescent="0.35">
      <c r="A435" s="10">
        <f t="shared" si="6"/>
        <v>46573</v>
      </c>
    </row>
    <row r="436" spans="1:1" x14ac:dyDescent="0.35">
      <c r="A436" s="10">
        <f t="shared" si="6"/>
        <v>46574</v>
      </c>
    </row>
    <row r="437" spans="1:1" x14ac:dyDescent="0.35">
      <c r="A437" s="10">
        <f t="shared" si="6"/>
        <v>46575</v>
      </c>
    </row>
    <row r="438" spans="1:1" x14ac:dyDescent="0.35">
      <c r="A438" s="10">
        <f t="shared" si="6"/>
        <v>46576</v>
      </c>
    </row>
    <row r="439" spans="1:1" x14ac:dyDescent="0.35">
      <c r="A439" s="10">
        <f t="shared" si="6"/>
        <v>46577</v>
      </c>
    </row>
    <row r="440" spans="1:1" x14ac:dyDescent="0.35">
      <c r="A440" s="10">
        <f t="shared" si="6"/>
        <v>46578</v>
      </c>
    </row>
    <row r="441" spans="1:1" x14ac:dyDescent="0.35">
      <c r="A441" s="10">
        <f t="shared" si="6"/>
        <v>46579</v>
      </c>
    </row>
    <row r="442" spans="1:1" x14ac:dyDescent="0.35">
      <c r="A442" s="10">
        <f t="shared" si="6"/>
        <v>46580</v>
      </c>
    </row>
    <row r="443" spans="1:1" x14ac:dyDescent="0.35">
      <c r="A443" s="10">
        <f t="shared" si="6"/>
        <v>46581</v>
      </c>
    </row>
    <row r="444" spans="1:1" x14ac:dyDescent="0.35">
      <c r="A444" s="10">
        <f t="shared" si="6"/>
        <v>46582</v>
      </c>
    </row>
    <row r="445" spans="1:1" x14ac:dyDescent="0.35">
      <c r="A445" s="10">
        <f t="shared" si="6"/>
        <v>46583</v>
      </c>
    </row>
    <row r="446" spans="1:1" x14ac:dyDescent="0.35">
      <c r="A446" s="10">
        <f t="shared" si="6"/>
        <v>46584</v>
      </c>
    </row>
    <row r="447" spans="1:1" x14ac:dyDescent="0.35">
      <c r="A447" s="10">
        <f t="shared" si="6"/>
        <v>46585</v>
      </c>
    </row>
    <row r="448" spans="1:1" x14ac:dyDescent="0.35">
      <c r="A448" s="10">
        <f t="shared" si="6"/>
        <v>46586</v>
      </c>
    </row>
    <row r="449" spans="1:1" x14ac:dyDescent="0.35">
      <c r="A449" s="10">
        <f t="shared" si="6"/>
        <v>46587</v>
      </c>
    </row>
    <row r="450" spans="1:1" x14ac:dyDescent="0.35">
      <c r="A450" s="10">
        <f t="shared" si="6"/>
        <v>46588</v>
      </c>
    </row>
    <row r="451" spans="1:1" x14ac:dyDescent="0.35">
      <c r="A451" s="10">
        <f t="shared" si="6"/>
        <v>46589</v>
      </c>
    </row>
    <row r="452" spans="1:1" x14ac:dyDescent="0.35">
      <c r="A452" s="10">
        <f t="shared" si="6"/>
        <v>46590</v>
      </c>
    </row>
    <row r="453" spans="1:1" x14ac:dyDescent="0.35">
      <c r="A453" s="10">
        <f t="shared" si="6"/>
        <v>46591</v>
      </c>
    </row>
    <row r="454" spans="1:1" x14ac:dyDescent="0.35">
      <c r="A454" s="10">
        <f t="shared" si="6"/>
        <v>46592</v>
      </c>
    </row>
    <row r="455" spans="1:1" x14ac:dyDescent="0.35">
      <c r="A455" s="10">
        <f t="shared" ref="A455:A518" si="7">A454+1</f>
        <v>46593</v>
      </c>
    </row>
    <row r="456" spans="1:1" x14ac:dyDescent="0.35">
      <c r="A456" s="10">
        <f t="shared" si="7"/>
        <v>46594</v>
      </c>
    </row>
    <row r="457" spans="1:1" x14ac:dyDescent="0.35">
      <c r="A457" s="10">
        <f t="shared" si="7"/>
        <v>46595</v>
      </c>
    </row>
    <row r="458" spans="1:1" x14ac:dyDescent="0.35">
      <c r="A458" s="10">
        <f t="shared" si="7"/>
        <v>46596</v>
      </c>
    </row>
    <row r="459" spans="1:1" x14ac:dyDescent="0.35">
      <c r="A459" s="10">
        <f t="shared" si="7"/>
        <v>46597</v>
      </c>
    </row>
    <row r="460" spans="1:1" x14ac:dyDescent="0.35">
      <c r="A460" s="10">
        <f t="shared" si="7"/>
        <v>46598</v>
      </c>
    </row>
    <row r="461" spans="1:1" x14ac:dyDescent="0.35">
      <c r="A461" s="10">
        <f t="shared" si="7"/>
        <v>46599</v>
      </c>
    </row>
    <row r="462" spans="1:1" x14ac:dyDescent="0.35">
      <c r="A462" s="10">
        <f t="shared" si="7"/>
        <v>46600</v>
      </c>
    </row>
    <row r="463" spans="1:1" x14ac:dyDescent="0.35">
      <c r="A463" s="10">
        <f t="shared" si="7"/>
        <v>46601</v>
      </c>
    </row>
    <row r="464" spans="1:1" x14ac:dyDescent="0.35">
      <c r="A464" s="10">
        <f t="shared" si="7"/>
        <v>46602</v>
      </c>
    </row>
    <row r="465" spans="1:1" x14ac:dyDescent="0.35">
      <c r="A465" s="10">
        <f t="shared" si="7"/>
        <v>46603</v>
      </c>
    </row>
    <row r="466" spans="1:1" x14ac:dyDescent="0.35">
      <c r="A466" s="10">
        <f t="shared" si="7"/>
        <v>46604</v>
      </c>
    </row>
    <row r="467" spans="1:1" x14ac:dyDescent="0.35">
      <c r="A467" s="10">
        <f t="shared" si="7"/>
        <v>46605</v>
      </c>
    </row>
    <row r="468" spans="1:1" x14ac:dyDescent="0.35">
      <c r="A468" s="10">
        <f t="shared" si="7"/>
        <v>46606</v>
      </c>
    </row>
    <row r="469" spans="1:1" x14ac:dyDescent="0.35">
      <c r="A469" s="10">
        <f t="shared" si="7"/>
        <v>46607</v>
      </c>
    </row>
    <row r="470" spans="1:1" x14ac:dyDescent="0.35">
      <c r="A470" s="10">
        <f t="shared" si="7"/>
        <v>46608</v>
      </c>
    </row>
    <row r="471" spans="1:1" x14ac:dyDescent="0.35">
      <c r="A471" s="10">
        <f t="shared" si="7"/>
        <v>46609</v>
      </c>
    </row>
    <row r="472" spans="1:1" x14ac:dyDescent="0.35">
      <c r="A472" s="10">
        <f t="shared" si="7"/>
        <v>46610</v>
      </c>
    </row>
    <row r="473" spans="1:1" x14ac:dyDescent="0.35">
      <c r="A473" s="10">
        <f t="shared" si="7"/>
        <v>46611</v>
      </c>
    </row>
    <row r="474" spans="1:1" x14ac:dyDescent="0.35">
      <c r="A474" s="10">
        <f t="shared" si="7"/>
        <v>46612</v>
      </c>
    </row>
    <row r="475" spans="1:1" x14ac:dyDescent="0.35">
      <c r="A475" s="10">
        <f t="shared" si="7"/>
        <v>46613</v>
      </c>
    </row>
    <row r="476" spans="1:1" x14ac:dyDescent="0.35">
      <c r="A476" s="10">
        <f t="shared" si="7"/>
        <v>46614</v>
      </c>
    </row>
    <row r="477" spans="1:1" x14ac:dyDescent="0.35">
      <c r="A477" s="10">
        <f t="shared" si="7"/>
        <v>46615</v>
      </c>
    </row>
    <row r="478" spans="1:1" x14ac:dyDescent="0.35">
      <c r="A478" s="10">
        <f t="shared" si="7"/>
        <v>46616</v>
      </c>
    </row>
    <row r="479" spans="1:1" x14ac:dyDescent="0.35">
      <c r="A479" s="10">
        <f t="shared" si="7"/>
        <v>46617</v>
      </c>
    </row>
    <row r="480" spans="1:1" x14ac:dyDescent="0.35">
      <c r="A480" s="10">
        <f t="shared" si="7"/>
        <v>46618</v>
      </c>
    </row>
    <row r="481" spans="1:1" x14ac:dyDescent="0.35">
      <c r="A481" s="10">
        <f t="shared" si="7"/>
        <v>46619</v>
      </c>
    </row>
    <row r="482" spans="1:1" x14ac:dyDescent="0.35">
      <c r="A482" s="10">
        <f t="shared" si="7"/>
        <v>46620</v>
      </c>
    </row>
    <row r="483" spans="1:1" x14ac:dyDescent="0.35">
      <c r="A483" s="10">
        <f t="shared" si="7"/>
        <v>46621</v>
      </c>
    </row>
    <row r="484" spans="1:1" x14ac:dyDescent="0.35">
      <c r="A484" s="10">
        <f t="shared" si="7"/>
        <v>46622</v>
      </c>
    </row>
    <row r="485" spans="1:1" x14ac:dyDescent="0.35">
      <c r="A485" s="10">
        <f t="shared" si="7"/>
        <v>46623</v>
      </c>
    </row>
    <row r="486" spans="1:1" x14ac:dyDescent="0.35">
      <c r="A486" s="10">
        <f t="shared" si="7"/>
        <v>46624</v>
      </c>
    </row>
    <row r="487" spans="1:1" x14ac:dyDescent="0.35">
      <c r="A487" s="10">
        <f t="shared" si="7"/>
        <v>46625</v>
      </c>
    </row>
    <row r="488" spans="1:1" x14ac:dyDescent="0.35">
      <c r="A488" s="10">
        <f t="shared" si="7"/>
        <v>46626</v>
      </c>
    </row>
    <row r="489" spans="1:1" x14ac:dyDescent="0.35">
      <c r="A489" s="10">
        <f t="shared" si="7"/>
        <v>46627</v>
      </c>
    </row>
    <row r="490" spans="1:1" x14ac:dyDescent="0.35">
      <c r="A490" s="10">
        <f t="shared" si="7"/>
        <v>46628</v>
      </c>
    </row>
    <row r="491" spans="1:1" x14ac:dyDescent="0.35">
      <c r="A491" s="10">
        <f t="shared" si="7"/>
        <v>46629</v>
      </c>
    </row>
    <row r="492" spans="1:1" x14ac:dyDescent="0.35">
      <c r="A492" s="10">
        <f t="shared" si="7"/>
        <v>46630</v>
      </c>
    </row>
    <row r="493" spans="1:1" x14ac:dyDescent="0.35">
      <c r="A493" s="10">
        <f t="shared" si="7"/>
        <v>46631</v>
      </c>
    </row>
    <row r="494" spans="1:1" x14ac:dyDescent="0.35">
      <c r="A494" s="10">
        <f t="shared" si="7"/>
        <v>46632</v>
      </c>
    </row>
    <row r="495" spans="1:1" x14ac:dyDescent="0.35">
      <c r="A495" s="10">
        <f t="shared" si="7"/>
        <v>46633</v>
      </c>
    </row>
    <row r="496" spans="1:1" x14ac:dyDescent="0.35">
      <c r="A496" s="10">
        <f t="shared" si="7"/>
        <v>46634</v>
      </c>
    </row>
    <row r="497" spans="1:1" x14ac:dyDescent="0.35">
      <c r="A497" s="10">
        <f t="shared" si="7"/>
        <v>46635</v>
      </c>
    </row>
    <row r="498" spans="1:1" x14ac:dyDescent="0.35">
      <c r="A498" s="10">
        <f t="shared" si="7"/>
        <v>46636</v>
      </c>
    </row>
    <row r="499" spans="1:1" x14ac:dyDescent="0.35">
      <c r="A499" s="10">
        <f t="shared" si="7"/>
        <v>46637</v>
      </c>
    </row>
    <row r="500" spans="1:1" x14ac:dyDescent="0.35">
      <c r="A500" s="10">
        <f t="shared" si="7"/>
        <v>46638</v>
      </c>
    </row>
    <row r="501" spans="1:1" x14ac:dyDescent="0.35">
      <c r="A501" s="10">
        <f t="shared" si="7"/>
        <v>46639</v>
      </c>
    </row>
    <row r="502" spans="1:1" x14ac:dyDescent="0.35">
      <c r="A502" s="10">
        <f t="shared" si="7"/>
        <v>46640</v>
      </c>
    </row>
    <row r="503" spans="1:1" x14ac:dyDescent="0.35">
      <c r="A503" s="10">
        <f t="shared" si="7"/>
        <v>46641</v>
      </c>
    </row>
    <row r="504" spans="1:1" x14ac:dyDescent="0.35">
      <c r="A504" s="10">
        <f t="shared" si="7"/>
        <v>46642</v>
      </c>
    </row>
    <row r="505" spans="1:1" x14ac:dyDescent="0.35">
      <c r="A505" s="10">
        <f t="shared" si="7"/>
        <v>46643</v>
      </c>
    </row>
    <row r="506" spans="1:1" x14ac:dyDescent="0.35">
      <c r="A506" s="10">
        <f t="shared" si="7"/>
        <v>46644</v>
      </c>
    </row>
    <row r="507" spans="1:1" x14ac:dyDescent="0.35">
      <c r="A507" s="10">
        <f t="shared" si="7"/>
        <v>46645</v>
      </c>
    </row>
    <row r="508" spans="1:1" x14ac:dyDescent="0.35">
      <c r="A508" s="10">
        <f t="shared" si="7"/>
        <v>46646</v>
      </c>
    </row>
    <row r="509" spans="1:1" x14ac:dyDescent="0.35">
      <c r="A509" s="10">
        <f t="shared" si="7"/>
        <v>46647</v>
      </c>
    </row>
    <row r="510" spans="1:1" x14ac:dyDescent="0.35">
      <c r="A510" s="10">
        <f t="shared" si="7"/>
        <v>46648</v>
      </c>
    </row>
    <row r="511" spans="1:1" x14ac:dyDescent="0.35">
      <c r="A511" s="10">
        <f t="shared" si="7"/>
        <v>46649</v>
      </c>
    </row>
    <row r="512" spans="1:1" x14ac:dyDescent="0.35">
      <c r="A512" s="10">
        <f t="shared" si="7"/>
        <v>46650</v>
      </c>
    </row>
    <row r="513" spans="1:1" x14ac:dyDescent="0.35">
      <c r="A513" s="10">
        <f t="shared" si="7"/>
        <v>46651</v>
      </c>
    </row>
    <row r="514" spans="1:1" x14ac:dyDescent="0.35">
      <c r="A514" s="10">
        <f t="shared" si="7"/>
        <v>46652</v>
      </c>
    </row>
    <row r="515" spans="1:1" x14ac:dyDescent="0.35">
      <c r="A515" s="10">
        <f t="shared" si="7"/>
        <v>46653</v>
      </c>
    </row>
    <row r="516" spans="1:1" x14ac:dyDescent="0.35">
      <c r="A516" s="10">
        <f t="shared" si="7"/>
        <v>46654</v>
      </c>
    </row>
    <row r="517" spans="1:1" x14ac:dyDescent="0.35">
      <c r="A517" s="10">
        <f t="shared" si="7"/>
        <v>46655</v>
      </c>
    </row>
    <row r="518" spans="1:1" x14ac:dyDescent="0.35">
      <c r="A518" s="10">
        <f t="shared" si="7"/>
        <v>46656</v>
      </c>
    </row>
    <row r="519" spans="1:1" x14ac:dyDescent="0.35">
      <c r="A519" s="10">
        <f t="shared" ref="A519:A582" si="8">A518+1</f>
        <v>46657</v>
      </c>
    </row>
    <row r="520" spans="1:1" x14ac:dyDescent="0.35">
      <c r="A520" s="10">
        <f t="shared" si="8"/>
        <v>46658</v>
      </c>
    </row>
    <row r="521" spans="1:1" x14ac:dyDescent="0.35">
      <c r="A521" s="10">
        <f t="shared" si="8"/>
        <v>46659</v>
      </c>
    </row>
    <row r="522" spans="1:1" x14ac:dyDescent="0.35">
      <c r="A522" s="10">
        <f t="shared" si="8"/>
        <v>46660</v>
      </c>
    </row>
    <row r="523" spans="1:1" x14ac:dyDescent="0.35">
      <c r="A523" s="10">
        <f t="shared" si="8"/>
        <v>46661</v>
      </c>
    </row>
    <row r="524" spans="1:1" x14ac:dyDescent="0.35">
      <c r="A524" s="10">
        <f t="shared" si="8"/>
        <v>46662</v>
      </c>
    </row>
    <row r="525" spans="1:1" x14ac:dyDescent="0.35">
      <c r="A525" s="10">
        <f t="shared" si="8"/>
        <v>46663</v>
      </c>
    </row>
    <row r="526" spans="1:1" x14ac:dyDescent="0.35">
      <c r="A526" s="10">
        <f t="shared" si="8"/>
        <v>46664</v>
      </c>
    </row>
    <row r="527" spans="1:1" x14ac:dyDescent="0.35">
      <c r="A527" s="10">
        <f t="shared" si="8"/>
        <v>46665</v>
      </c>
    </row>
    <row r="528" spans="1:1" x14ac:dyDescent="0.35">
      <c r="A528" s="10">
        <f t="shared" si="8"/>
        <v>46666</v>
      </c>
    </row>
    <row r="529" spans="1:1" x14ac:dyDescent="0.35">
      <c r="A529" s="10">
        <f t="shared" si="8"/>
        <v>46667</v>
      </c>
    </row>
    <row r="530" spans="1:1" x14ac:dyDescent="0.35">
      <c r="A530" s="10">
        <f t="shared" si="8"/>
        <v>46668</v>
      </c>
    </row>
    <row r="531" spans="1:1" x14ac:dyDescent="0.35">
      <c r="A531" s="10">
        <f t="shared" si="8"/>
        <v>46669</v>
      </c>
    </row>
    <row r="532" spans="1:1" x14ac:dyDescent="0.35">
      <c r="A532" s="10">
        <f t="shared" si="8"/>
        <v>46670</v>
      </c>
    </row>
    <row r="533" spans="1:1" x14ac:dyDescent="0.35">
      <c r="A533" s="10">
        <f t="shared" si="8"/>
        <v>46671</v>
      </c>
    </row>
    <row r="534" spans="1:1" x14ac:dyDescent="0.35">
      <c r="A534" s="10">
        <f t="shared" si="8"/>
        <v>46672</v>
      </c>
    </row>
    <row r="535" spans="1:1" x14ac:dyDescent="0.35">
      <c r="A535" s="10">
        <f t="shared" si="8"/>
        <v>46673</v>
      </c>
    </row>
    <row r="536" spans="1:1" x14ac:dyDescent="0.35">
      <c r="A536" s="10">
        <f t="shared" si="8"/>
        <v>46674</v>
      </c>
    </row>
    <row r="537" spans="1:1" x14ac:dyDescent="0.35">
      <c r="A537" s="10">
        <f t="shared" si="8"/>
        <v>46675</v>
      </c>
    </row>
    <row r="538" spans="1:1" x14ac:dyDescent="0.35">
      <c r="A538" s="10">
        <f t="shared" si="8"/>
        <v>46676</v>
      </c>
    </row>
    <row r="539" spans="1:1" x14ac:dyDescent="0.35">
      <c r="A539" s="10">
        <f t="shared" si="8"/>
        <v>46677</v>
      </c>
    </row>
    <row r="540" spans="1:1" x14ac:dyDescent="0.35">
      <c r="A540" s="10">
        <f t="shared" si="8"/>
        <v>46678</v>
      </c>
    </row>
    <row r="541" spans="1:1" x14ac:dyDescent="0.35">
      <c r="A541" s="10">
        <f t="shared" si="8"/>
        <v>46679</v>
      </c>
    </row>
    <row r="542" spans="1:1" x14ac:dyDescent="0.35">
      <c r="A542" s="10">
        <f t="shared" si="8"/>
        <v>46680</v>
      </c>
    </row>
    <row r="543" spans="1:1" x14ac:dyDescent="0.35">
      <c r="A543" s="10">
        <f t="shared" si="8"/>
        <v>46681</v>
      </c>
    </row>
    <row r="544" spans="1:1" x14ac:dyDescent="0.35">
      <c r="A544" s="10">
        <f t="shared" si="8"/>
        <v>46682</v>
      </c>
    </row>
    <row r="545" spans="1:1" x14ac:dyDescent="0.35">
      <c r="A545" s="10">
        <f t="shared" si="8"/>
        <v>46683</v>
      </c>
    </row>
    <row r="546" spans="1:1" x14ac:dyDescent="0.35">
      <c r="A546" s="10">
        <f t="shared" si="8"/>
        <v>46684</v>
      </c>
    </row>
    <row r="547" spans="1:1" x14ac:dyDescent="0.35">
      <c r="A547" s="10">
        <f t="shared" si="8"/>
        <v>46685</v>
      </c>
    </row>
    <row r="548" spans="1:1" x14ac:dyDescent="0.35">
      <c r="A548" s="10">
        <f t="shared" si="8"/>
        <v>46686</v>
      </c>
    </row>
    <row r="549" spans="1:1" x14ac:dyDescent="0.35">
      <c r="A549" s="10">
        <f t="shared" si="8"/>
        <v>46687</v>
      </c>
    </row>
    <row r="550" spans="1:1" x14ac:dyDescent="0.35">
      <c r="A550" s="10">
        <f t="shared" si="8"/>
        <v>46688</v>
      </c>
    </row>
    <row r="551" spans="1:1" x14ac:dyDescent="0.35">
      <c r="A551" s="10">
        <f t="shared" si="8"/>
        <v>46689</v>
      </c>
    </row>
    <row r="552" spans="1:1" x14ac:dyDescent="0.35">
      <c r="A552" s="10">
        <f t="shared" si="8"/>
        <v>46690</v>
      </c>
    </row>
    <row r="553" spans="1:1" x14ac:dyDescent="0.35">
      <c r="A553" s="10">
        <f t="shared" si="8"/>
        <v>46691</v>
      </c>
    </row>
    <row r="554" spans="1:1" x14ac:dyDescent="0.35">
      <c r="A554" s="10">
        <f t="shared" si="8"/>
        <v>46692</v>
      </c>
    </row>
    <row r="555" spans="1:1" x14ac:dyDescent="0.35">
      <c r="A555" s="10">
        <f t="shared" si="8"/>
        <v>46693</v>
      </c>
    </row>
    <row r="556" spans="1:1" x14ac:dyDescent="0.35">
      <c r="A556" s="10">
        <f t="shared" si="8"/>
        <v>46694</v>
      </c>
    </row>
    <row r="557" spans="1:1" x14ac:dyDescent="0.35">
      <c r="A557" s="10">
        <f t="shared" si="8"/>
        <v>46695</v>
      </c>
    </row>
    <row r="558" spans="1:1" x14ac:dyDescent="0.35">
      <c r="A558" s="10">
        <f t="shared" si="8"/>
        <v>46696</v>
      </c>
    </row>
    <row r="559" spans="1:1" x14ac:dyDescent="0.35">
      <c r="A559" s="10">
        <f t="shared" si="8"/>
        <v>46697</v>
      </c>
    </row>
    <row r="560" spans="1:1" x14ac:dyDescent="0.35">
      <c r="A560" s="10">
        <f t="shared" si="8"/>
        <v>46698</v>
      </c>
    </row>
    <row r="561" spans="1:1" x14ac:dyDescent="0.35">
      <c r="A561" s="10">
        <f t="shared" si="8"/>
        <v>46699</v>
      </c>
    </row>
    <row r="562" spans="1:1" x14ac:dyDescent="0.35">
      <c r="A562" s="10">
        <f t="shared" si="8"/>
        <v>46700</v>
      </c>
    </row>
    <row r="563" spans="1:1" x14ac:dyDescent="0.35">
      <c r="A563" s="10">
        <f t="shared" si="8"/>
        <v>46701</v>
      </c>
    </row>
    <row r="564" spans="1:1" x14ac:dyDescent="0.35">
      <c r="A564" s="10">
        <f t="shared" si="8"/>
        <v>46702</v>
      </c>
    </row>
    <row r="565" spans="1:1" x14ac:dyDescent="0.35">
      <c r="A565" s="10">
        <f t="shared" si="8"/>
        <v>46703</v>
      </c>
    </row>
    <row r="566" spans="1:1" x14ac:dyDescent="0.35">
      <c r="A566" s="10">
        <f t="shared" si="8"/>
        <v>46704</v>
      </c>
    </row>
    <row r="567" spans="1:1" x14ac:dyDescent="0.35">
      <c r="A567" s="10">
        <f t="shared" si="8"/>
        <v>46705</v>
      </c>
    </row>
    <row r="568" spans="1:1" x14ac:dyDescent="0.35">
      <c r="A568" s="10">
        <f t="shared" si="8"/>
        <v>46706</v>
      </c>
    </row>
    <row r="569" spans="1:1" x14ac:dyDescent="0.35">
      <c r="A569" s="10">
        <f t="shared" si="8"/>
        <v>46707</v>
      </c>
    </row>
    <row r="570" spans="1:1" x14ac:dyDescent="0.35">
      <c r="A570" s="10">
        <f t="shared" si="8"/>
        <v>46708</v>
      </c>
    </row>
    <row r="571" spans="1:1" x14ac:dyDescent="0.35">
      <c r="A571" s="10">
        <f t="shared" si="8"/>
        <v>46709</v>
      </c>
    </row>
    <row r="572" spans="1:1" x14ac:dyDescent="0.35">
      <c r="A572" s="10">
        <f t="shared" si="8"/>
        <v>46710</v>
      </c>
    </row>
    <row r="573" spans="1:1" x14ac:dyDescent="0.35">
      <c r="A573" s="10">
        <f t="shared" si="8"/>
        <v>46711</v>
      </c>
    </row>
    <row r="574" spans="1:1" x14ac:dyDescent="0.35">
      <c r="A574" s="10">
        <f t="shared" si="8"/>
        <v>46712</v>
      </c>
    </row>
    <row r="575" spans="1:1" x14ac:dyDescent="0.35">
      <c r="A575" s="10">
        <f t="shared" si="8"/>
        <v>46713</v>
      </c>
    </row>
    <row r="576" spans="1:1" x14ac:dyDescent="0.35">
      <c r="A576" s="10">
        <f t="shared" si="8"/>
        <v>46714</v>
      </c>
    </row>
    <row r="577" spans="1:1" x14ac:dyDescent="0.35">
      <c r="A577" s="10">
        <f t="shared" si="8"/>
        <v>46715</v>
      </c>
    </row>
    <row r="578" spans="1:1" x14ac:dyDescent="0.35">
      <c r="A578" s="10">
        <f t="shared" si="8"/>
        <v>46716</v>
      </c>
    </row>
    <row r="579" spans="1:1" x14ac:dyDescent="0.35">
      <c r="A579" s="10">
        <f t="shared" si="8"/>
        <v>46717</v>
      </c>
    </row>
    <row r="580" spans="1:1" x14ac:dyDescent="0.35">
      <c r="A580" s="10">
        <f t="shared" si="8"/>
        <v>46718</v>
      </c>
    </row>
    <row r="581" spans="1:1" x14ac:dyDescent="0.35">
      <c r="A581" s="10">
        <f t="shared" si="8"/>
        <v>46719</v>
      </c>
    </row>
    <row r="582" spans="1:1" x14ac:dyDescent="0.35">
      <c r="A582" s="10">
        <f t="shared" si="8"/>
        <v>46720</v>
      </c>
    </row>
    <row r="583" spans="1:1" x14ac:dyDescent="0.35">
      <c r="A583" s="10">
        <f t="shared" ref="A583:A615" si="9">A582+1</f>
        <v>46721</v>
      </c>
    </row>
    <row r="584" spans="1:1" x14ac:dyDescent="0.35">
      <c r="A584" s="10">
        <f t="shared" si="9"/>
        <v>46722</v>
      </c>
    </row>
    <row r="585" spans="1:1" x14ac:dyDescent="0.35">
      <c r="A585" s="10">
        <f t="shared" si="9"/>
        <v>46723</v>
      </c>
    </row>
    <row r="586" spans="1:1" x14ac:dyDescent="0.35">
      <c r="A586" s="10">
        <f t="shared" si="9"/>
        <v>46724</v>
      </c>
    </row>
    <row r="587" spans="1:1" x14ac:dyDescent="0.35">
      <c r="A587" s="10">
        <f t="shared" si="9"/>
        <v>46725</v>
      </c>
    </row>
    <row r="588" spans="1:1" x14ac:dyDescent="0.35">
      <c r="A588" s="10">
        <f t="shared" si="9"/>
        <v>46726</v>
      </c>
    </row>
    <row r="589" spans="1:1" x14ac:dyDescent="0.35">
      <c r="A589" s="10">
        <f t="shared" si="9"/>
        <v>46727</v>
      </c>
    </row>
    <row r="590" spans="1:1" x14ac:dyDescent="0.35">
      <c r="A590" s="10">
        <f t="shared" si="9"/>
        <v>46728</v>
      </c>
    </row>
    <row r="591" spans="1:1" x14ac:dyDescent="0.35">
      <c r="A591" s="10">
        <f t="shared" si="9"/>
        <v>46729</v>
      </c>
    </row>
    <row r="592" spans="1:1" x14ac:dyDescent="0.35">
      <c r="A592" s="10">
        <f t="shared" si="9"/>
        <v>46730</v>
      </c>
    </row>
    <row r="593" spans="1:1" x14ac:dyDescent="0.35">
      <c r="A593" s="10">
        <f t="shared" si="9"/>
        <v>46731</v>
      </c>
    </row>
    <row r="594" spans="1:1" x14ac:dyDescent="0.35">
      <c r="A594" s="10">
        <f t="shared" si="9"/>
        <v>46732</v>
      </c>
    </row>
    <row r="595" spans="1:1" x14ac:dyDescent="0.35">
      <c r="A595" s="10">
        <f t="shared" si="9"/>
        <v>46733</v>
      </c>
    </row>
    <row r="596" spans="1:1" x14ac:dyDescent="0.35">
      <c r="A596" s="10">
        <f t="shared" si="9"/>
        <v>46734</v>
      </c>
    </row>
    <row r="597" spans="1:1" x14ac:dyDescent="0.35">
      <c r="A597" s="10">
        <f t="shared" si="9"/>
        <v>46735</v>
      </c>
    </row>
    <row r="598" spans="1:1" x14ac:dyDescent="0.35">
      <c r="A598" s="10">
        <f t="shared" si="9"/>
        <v>46736</v>
      </c>
    </row>
    <row r="599" spans="1:1" x14ac:dyDescent="0.35">
      <c r="A599" s="10">
        <f t="shared" si="9"/>
        <v>46737</v>
      </c>
    </row>
    <row r="600" spans="1:1" x14ac:dyDescent="0.35">
      <c r="A600" s="10">
        <f t="shared" si="9"/>
        <v>46738</v>
      </c>
    </row>
    <row r="601" spans="1:1" x14ac:dyDescent="0.35">
      <c r="A601" s="10">
        <f t="shared" si="9"/>
        <v>46739</v>
      </c>
    </row>
    <row r="602" spans="1:1" x14ac:dyDescent="0.35">
      <c r="A602" s="10">
        <f t="shared" si="9"/>
        <v>46740</v>
      </c>
    </row>
    <row r="603" spans="1:1" x14ac:dyDescent="0.35">
      <c r="A603" s="10">
        <f t="shared" si="9"/>
        <v>46741</v>
      </c>
    </row>
    <row r="604" spans="1:1" x14ac:dyDescent="0.35">
      <c r="A604" s="10">
        <f t="shared" si="9"/>
        <v>46742</v>
      </c>
    </row>
    <row r="605" spans="1:1" x14ac:dyDescent="0.35">
      <c r="A605" s="10">
        <f t="shared" si="9"/>
        <v>46743</v>
      </c>
    </row>
    <row r="606" spans="1:1" x14ac:dyDescent="0.35">
      <c r="A606" s="10">
        <f t="shared" si="9"/>
        <v>46744</v>
      </c>
    </row>
    <row r="607" spans="1:1" x14ac:dyDescent="0.35">
      <c r="A607" s="10">
        <f t="shared" si="9"/>
        <v>46745</v>
      </c>
    </row>
    <row r="608" spans="1:1" x14ac:dyDescent="0.35">
      <c r="A608" s="10">
        <f t="shared" si="9"/>
        <v>46746</v>
      </c>
    </row>
    <row r="609" spans="1:1" x14ac:dyDescent="0.35">
      <c r="A609" s="10">
        <f t="shared" si="9"/>
        <v>46747</v>
      </c>
    </row>
    <row r="610" spans="1:1" x14ac:dyDescent="0.35">
      <c r="A610" s="10">
        <f t="shared" si="9"/>
        <v>46748</v>
      </c>
    </row>
    <row r="611" spans="1:1" x14ac:dyDescent="0.35">
      <c r="A611" s="10">
        <f t="shared" si="9"/>
        <v>46749</v>
      </c>
    </row>
    <row r="612" spans="1:1" x14ac:dyDescent="0.35">
      <c r="A612" s="10">
        <f t="shared" si="9"/>
        <v>46750</v>
      </c>
    </row>
    <row r="613" spans="1:1" x14ac:dyDescent="0.35">
      <c r="A613" s="10">
        <f t="shared" si="9"/>
        <v>46751</v>
      </c>
    </row>
    <row r="614" spans="1:1" x14ac:dyDescent="0.35">
      <c r="A614" s="10">
        <f t="shared" si="9"/>
        <v>46752</v>
      </c>
    </row>
    <row r="615" spans="1:1" x14ac:dyDescent="0.35">
      <c r="A615" s="10">
        <f t="shared" si="9"/>
        <v>46753</v>
      </c>
    </row>
    <row r="616" spans="1:1" x14ac:dyDescent="0.35">
      <c r="A616" s="10"/>
    </row>
    <row r="617" spans="1:1" x14ac:dyDescent="0.35">
      <c r="A617" s="10"/>
    </row>
    <row r="618" spans="1:1" x14ac:dyDescent="0.35">
      <c r="A618" s="10"/>
    </row>
    <row r="619" spans="1:1" x14ac:dyDescent="0.35">
      <c r="A619" s="10"/>
    </row>
    <row r="620" spans="1:1" x14ac:dyDescent="0.35">
      <c r="A620" s="10"/>
    </row>
    <row r="621" spans="1:1" x14ac:dyDescent="0.35">
      <c r="A621" s="10"/>
    </row>
    <row r="622" spans="1:1" x14ac:dyDescent="0.35">
      <c r="A622" s="10"/>
    </row>
    <row r="623" spans="1:1" x14ac:dyDescent="0.35">
      <c r="A623" s="10"/>
    </row>
    <row r="624" spans="1:1" x14ac:dyDescent="0.35">
      <c r="A624" s="10"/>
    </row>
    <row r="625" spans="1:1" x14ac:dyDescent="0.35">
      <c r="A625" s="10"/>
    </row>
    <row r="626" spans="1:1" x14ac:dyDescent="0.35">
      <c r="A626" s="10"/>
    </row>
    <row r="627" spans="1:1" x14ac:dyDescent="0.35">
      <c r="A627" s="10"/>
    </row>
    <row r="628" spans="1:1" x14ac:dyDescent="0.35">
      <c r="A628" s="10"/>
    </row>
    <row r="629" spans="1:1" x14ac:dyDescent="0.35">
      <c r="A629" s="10"/>
    </row>
    <row r="630" spans="1:1" x14ac:dyDescent="0.35">
      <c r="A630" s="10"/>
    </row>
    <row r="631" spans="1:1" x14ac:dyDescent="0.35">
      <c r="A631" s="10"/>
    </row>
    <row r="632" spans="1:1" x14ac:dyDescent="0.35">
      <c r="A632" s="10"/>
    </row>
    <row r="633" spans="1:1" x14ac:dyDescent="0.35">
      <c r="A633" s="10"/>
    </row>
    <row r="634" spans="1:1" x14ac:dyDescent="0.35">
      <c r="A634" s="10"/>
    </row>
    <row r="635" spans="1:1" x14ac:dyDescent="0.35">
      <c r="A635" s="10"/>
    </row>
    <row r="636" spans="1:1" x14ac:dyDescent="0.35">
      <c r="A636" s="10"/>
    </row>
    <row r="637" spans="1:1" x14ac:dyDescent="0.35">
      <c r="A637" s="10"/>
    </row>
    <row r="638" spans="1:1" x14ac:dyDescent="0.35">
      <c r="A638" s="10"/>
    </row>
    <row r="639" spans="1:1" x14ac:dyDescent="0.35">
      <c r="A639" s="10"/>
    </row>
    <row r="640" spans="1:1" x14ac:dyDescent="0.35">
      <c r="A640" s="10"/>
    </row>
    <row r="641" spans="1:1" x14ac:dyDescent="0.35">
      <c r="A641" s="10"/>
    </row>
    <row r="642" spans="1:1" x14ac:dyDescent="0.35">
      <c r="A642" s="10"/>
    </row>
    <row r="643" spans="1:1" x14ac:dyDescent="0.35">
      <c r="A643" s="10"/>
    </row>
    <row r="644" spans="1:1" x14ac:dyDescent="0.35">
      <c r="A644" s="10"/>
    </row>
    <row r="645" spans="1:1" x14ac:dyDescent="0.35">
      <c r="A645" s="10"/>
    </row>
    <row r="646" spans="1:1" x14ac:dyDescent="0.35">
      <c r="A646" s="10"/>
    </row>
    <row r="647" spans="1:1" x14ac:dyDescent="0.35">
      <c r="A647" s="10"/>
    </row>
    <row r="648" spans="1:1" x14ac:dyDescent="0.35">
      <c r="A648" s="10"/>
    </row>
    <row r="649" spans="1:1" x14ac:dyDescent="0.35">
      <c r="A649" s="10"/>
    </row>
    <row r="650" spans="1:1" x14ac:dyDescent="0.35">
      <c r="A650" s="10"/>
    </row>
    <row r="651" spans="1:1" x14ac:dyDescent="0.35">
      <c r="A651" s="10"/>
    </row>
    <row r="652" spans="1:1" x14ac:dyDescent="0.35">
      <c r="A652" s="10"/>
    </row>
    <row r="653" spans="1:1" x14ac:dyDescent="0.35">
      <c r="A653" s="10"/>
    </row>
    <row r="654" spans="1:1" x14ac:dyDescent="0.35">
      <c r="A654" s="10"/>
    </row>
    <row r="655" spans="1:1" x14ac:dyDescent="0.35">
      <c r="A655" s="10"/>
    </row>
    <row r="656" spans="1:1" x14ac:dyDescent="0.35">
      <c r="A656" s="10"/>
    </row>
    <row r="657" spans="1:1" x14ac:dyDescent="0.35">
      <c r="A657" s="10"/>
    </row>
    <row r="658" spans="1:1" x14ac:dyDescent="0.35">
      <c r="A658" s="10"/>
    </row>
    <row r="659" spans="1:1" x14ac:dyDescent="0.35">
      <c r="A659" s="10"/>
    </row>
    <row r="660" spans="1:1" x14ac:dyDescent="0.35">
      <c r="A660" s="10"/>
    </row>
    <row r="661" spans="1:1" x14ac:dyDescent="0.35">
      <c r="A661" s="10"/>
    </row>
    <row r="662" spans="1:1" x14ac:dyDescent="0.35">
      <c r="A662" s="10"/>
    </row>
    <row r="663" spans="1:1" x14ac:dyDescent="0.35">
      <c r="A663" s="10"/>
    </row>
    <row r="664" spans="1:1" x14ac:dyDescent="0.35">
      <c r="A664" s="10"/>
    </row>
    <row r="665" spans="1:1" x14ac:dyDescent="0.35">
      <c r="A665" s="10"/>
    </row>
    <row r="666" spans="1:1" x14ac:dyDescent="0.35">
      <c r="A666" s="10"/>
    </row>
    <row r="667" spans="1:1" x14ac:dyDescent="0.35">
      <c r="A667" s="10"/>
    </row>
    <row r="668" spans="1:1" x14ac:dyDescent="0.35">
      <c r="A668" s="10"/>
    </row>
    <row r="669" spans="1:1" x14ac:dyDescent="0.35">
      <c r="A669" s="10"/>
    </row>
    <row r="670" spans="1:1" x14ac:dyDescent="0.35">
      <c r="A670" s="10"/>
    </row>
    <row r="671" spans="1:1" x14ac:dyDescent="0.35">
      <c r="A671" s="10"/>
    </row>
    <row r="672" spans="1:1" x14ac:dyDescent="0.35">
      <c r="A672" s="10"/>
    </row>
    <row r="673" spans="1:1" x14ac:dyDescent="0.35">
      <c r="A673" s="10"/>
    </row>
    <row r="674" spans="1:1" x14ac:dyDescent="0.35">
      <c r="A674" s="10"/>
    </row>
    <row r="675" spans="1:1" x14ac:dyDescent="0.35">
      <c r="A675" s="10"/>
    </row>
    <row r="676" spans="1:1" x14ac:dyDescent="0.35">
      <c r="A676" s="10"/>
    </row>
    <row r="677" spans="1:1" x14ac:dyDescent="0.35">
      <c r="A677" s="10"/>
    </row>
    <row r="678" spans="1:1" x14ac:dyDescent="0.35">
      <c r="A678" s="10"/>
    </row>
    <row r="679" spans="1:1" x14ac:dyDescent="0.35">
      <c r="A679" s="10"/>
    </row>
    <row r="680" spans="1:1" x14ac:dyDescent="0.35">
      <c r="A680" s="10"/>
    </row>
    <row r="681" spans="1:1" x14ac:dyDescent="0.35">
      <c r="A681" s="10"/>
    </row>
    <row r="682" spans="1:1" x14ac:dyDescent="0.35">
      <c r="A682" s="10"/>
    </row>
    <row r="683" spans="1:1" x14ac:dyDescent="0.35">
      <c r="A683" s="10"/>
    </row>
    <row r="684" spans="1:1" x14ac:dyDescent="0.35">
      <c r="A684" s="10"/>
    </row>
    <row r="685" spans="1:1" x14ac:dyDescent="0.35">
      <c r="A685" s="10"/>
    </row>
    <row r="686" spans="1:1" x14ac:dyDescent="0.35">
      <c r="A686" s="10"/>
    </row>
    <row r="687" spans="1:1" x14ac:dyDescent="0.35">
      <c r="A687" s="10"/>
    </row>
    <row r="688" spans="1:1" x14ac:dyDescent="0.35">
      <c r="A688" s="10"/>
    </row>
    <row r="689" spans="1:1" x14ac:dyDescent="0.35">
      <c r="A689" s="10"/>
    </row>
    <row r="690" spans="1:1" x14ac:dyDescent="0.35">
      <c r="A690" s="10"/>
    </row>
    <row r="691" spans="1:1" x14ac:dyDescent="0.35">
      <c r="A691" s="10"/>
    </row>
    <row r="692" spans="1:1" x14ac:dyDescent="0.35">
      <c r="A692" s="10"/>
    </row>
    <row r="693" spans="1:1" x14ac:dyDescent="0.35">
      <c r="A693" s="10"/>
    </row>
    <row r="694" spans="1:1" x14ac:dyDescent="0.35">
      <c r="A694" s="10"/>
    </row>
    <row r="695" spans="1:1" x14ac:dyDescent="0.35">
      <c r="A695" s="10"/>
    </row>
    <row r="696" spans="1:1" x14ac:dyDescent="0.35">
      <c r="A696" s="10"/>
    </row>
    <row r="697" spans="1:1" x14ac:dyDescent="0.35">
      <c r="A697" s="10"/>
    </row>
    <row r="698" spans="1:1" x14ac:dyDescent="0.35">
      <c r="A698" s="10"/>
    </row>
    <row r="699" spans="1:1" x14ac:dyDescent="0.35">
      <c r="A699" s="10"/>
    </row>
    <row r="700" spans="1:1" x14ac:dyDescent="0.35">
      <c r="A700" s="10"/>
    </row>
    <row r="701" spans="1:1" x14ac:dyDescent="0.35">
      <c r="A701" s="10"/>
    </row>
    <row r="702" spans="1:1" x14ac:dyDescent="0.35">
      <c r="A702" s="10"/>
    </row>
    <row r="703" spans="1:1" x14ac:dyDescent="0.35">
      <c r="A703" s="10"/>
    </row>
    <row r="704" spans="1:1" x14ac:dyDescent="0.35">
      <c r="A704" s="10"/>
    </row>
    <row r="705" spans="1:1" x14ac:dyDescent="0.35">
      <c r="A705" s="10"/>
    </row>
    <row r="706" spans="1:1" x14ac:dyDescent="0.35">
      <c r="A706" s="10"/>
    </row>
    <row r="707" spans="1:1" x14ac:dyDescent="0.35">
      <c r="A707" s="10"/>
    </row>
    <row r="708" spans="1:1" x14ac:dyDescent="0.35">
      <c r="A708" s="10"/>
    </row>
    <row r="709" spans="1:1" x14ac:dyDescent="0.35">
      <c r="A709" s="10"/>
    </row>
    <row r="710" spans="1:1" x14ac:dyDescent="0.35">
      <c r="A710" s="10"/>
    </row>
    <row r="711" spans="1:1" x14ac:dyDescent="0.35">
      <c r="A711" s="10"/>
    </row>
    <row r="712" spans="1:1" x14ac:dyDescent="0.35">
      <c r="A712" s="10"/>
    </row>
    <row r="713" spans="1:1" x14ac:dyDescent="0.35">
      <c r="A713" s="10"/>
    </row>
    <row r="714" spans="1:1" x14ac:dyDescent="0.35">
      <c r="A714" s="10"/>
    </row>
    <row r="715" spans="1:1" x14ac:dyDescent="0.35">
      <c r="A715" s="10"/>
    </row>
    <row r="716" spans="1:1" x14ac:dyDescent="0.35">
      <c r="A716" s="10"/>
    </row>
    <row r="717" spans="1:1" x14ac:dyDescent="0.35">
      <c r="A717" s="10"/>
    </row>
    <row r="718" spans="1:1" x14ac:dyDescent="0.35">
      <c r="A718" s="10"/>
    </row>
    <row r="719" spans="1:1" x14ac:dyDescent="0.35">
      <c r="A719" s="10"/>
    </row>
    <row r="720" spans="1:1" x14ac:dyDescent="0.35">
      <c r="A720" s="10"/>
    </row>
    <row r="721" spans="1:1" x14ac:dyDescent="0.35">
      <c r="A721" s="10"/>
    </row>
    <row r="722" spans="1:1" x14ac:dyDescent="0.35">
      <c r="A722" s="10"/>
    </row>
    <row r="723" spans="1:1" x14ac:dyDescent="0.35">
      <c r="A723" s="10"/>
    </row>
    <row r="724" spans="1:1" x14ac:dyDescent="0.35">
      <c r="A724" s="10"/>
    </row>
    <row r="725" spans="1:1" x14ac:dyDescent="0.35">
      <c r="A725" s="10"/>
    </row>
    <row r="726" spans="1:1" x14ac:dyDescent="0.35">
      <c r="A726" s="10"/>
    </row>
    <row r="727" spans="1:1" x14ac:dyDescent="0.35">
      <c r="A727" s="10"/>
    </row>
    <row r="728" spans="1:1" x14ac:dyDescent="0.35">
      <c r="A728" s="10"/>
    </row>
    <row r="729" spans="1:1" x14ac:dyDescent="0.35">
      <c r="A729" s="10"/>
    </row>
    <row r="730" spans="1:1" x14ac:dyDescent="0.35">
      <c r="A730" s="10"/>
    </row>
    <row r="731" spans="1:1" x14ac:dyDescent="0.35">
      <c r="A731" s="10"/>
    </row>
    <row r="732" spans="1:1" x14ac:dyDescent="0.35">
      <c r="A732" s="10"/>
    </row>
    <row r="733" spans="1:1" x14ac:dyDescent="0.35">
      <c r="A733" s="10"/>
    </row>
    <row r="734" spans="1:1" x14ac:dyDescent="0.35">
      <c r="A734" s="10"/>
    </row>
    <row r="735" spans="1:1" x14ac:dyDescent="0.35">
      <c r="A735" s="10"/>
    </row>
    <row r="736" spans="1:1" x14ac:dyDescent="0.35">
      <c r="A736" s="10"/>
    </row>
    <row r="737" spans="1:1" x14ac:dyDescent="0.35">
      <c r="A737" s="10"/>
    </row>
    <row r="738" spans="1:1" x14ac:dyDescent="0.35">
      <c r="A738" s="10"/>
    </row>
    <row r="739" spans="1:1" x14ac:dyDescent="0.35">
      <c r="A739" s="10"/>
    </row>
    <row r="740" spans="1:1" x14ac:dyDescent="0.35">
      <c r="A740" s="10"/>
    </row>
    <row r="741" spans="1:1" x14ac:dyDescent="0.35">
      <c r="A741" s="10"/>
    </row>
    <row r="742" spans="1:1" x14ac:dyDescent="0.35">
      <c r="A742" s="10"/>
    </row>
    <row r="743" spans="1:1" x14ac:dyDescent="0.35">
      <c r="A743" s="10"/>
    </row>
    <row r="744" spans="1:1" x14ac:dyDescent="0.35">
      <c r="A744" s="10"/>
    </row>
    <row r="745" spans="1:1" x14ac:dyDescent="0.35">
      <c r="A745" s="10"/>
    </row>
    <row r="746" spans="1:1" x14ac:dyDescent="0.35">
      <c r="A746" s="10"/>
    </row>
    <row r="747" spans="1:1" x14ac:dyDescent="0.35">
      <c r="A747" s="10"/>
    </row>
    <row r="748" spans="1:1" x14ac:dyDescent="0.35">
      <c r="A748" s="10"/>
    </row>
    <row r="749" spans="1:1" x14ac:dyDescent="0.35">
      <c r="A749" s="10"/>
    </row>
    <row r="750" spans="1:1" x14ac:dyDescent="0.35">
      <c r="A750" s="10"/>
    </row>
    <row r="751" spans="1:1" x14ac:dyDescent="0.35">
      <c r="A751" s="10"/>
    </row>
    <row r="752" spans="1:1" x14ac:dyDescent="0.35">
      <c r="A752" s="10"/>
    </row>
    <row r="753" spans="1:1" x14ac:dyDescent="0.35">
      <c r="A753" s="10"/>
    </row>
    <row r="754" spans="1:1" x14ac:dyDescent="0.35">
      <c r="A754" s="10"/>
    </row>
    <row r="755" spans="1:1" x14ac:dyDescent="0.35">
      <c r="A755" s="10"/>
    </row>
    <row r="756" spans="1:1" x14ac:dyDescent="0.35">
      <c r="A756" s="10"/>
    </row>
    <row r="757" spans="1:1" x14ac:dyDescent="0.35">
      <c r="A757" s="10"/>
    </row>
    <row r="758" spans="1:1" x14ac:dyDescent="0.35">
      <c r="A758" s="10"/>
    </row>
    <row r="759" spans="1:1" x14ac:dyDescent="0.35">
      <c r="A759" s="10"/>
    </row>
    <row r="760" spans="1:1" x14ac:dyDescent="0.35">
      <c r="A760" s="10"/>
    </row>
    <row r="761" spans="1:1" x14ac:dyDescent="0.35">
      <c r="A761" s="10"/>
    </row>
    <row r="762" spans="1:1" x14ac:dyDescent="0.35">
      <c r="A762" s="10"/>
    </row>
    <row r="763" spans="1:1" x14ac:dyDescent="0.35">
      <c r="A763" s="10"/>
    </row>
    <row r="764" spans="1:1" x14ac:dyDescent="0.35">
      <c r="A764" s="10"/>
    </row>
    <row r="765" spans="1:1" x14ac:dyDescent="0.35">
      <c r="A765" s="10"/>
    </row>
    <row r="766" spans="1:1" x14ac:dyDescent="0.35">
      <c r="A766" s="10"/>
    </row>
    <row r="767" spans="1:1" x14ac:dyDescent="0.35">
      <c r="A767" s="10"/>
    </row>
    <row r="768" spans="1:1" x14ac:dyDescent="0.35">
      <c r="A768" s="10"/>
    </row>
    <row r="769" spans="1:1" x14ac:dyDescent="0.35">
      <c r="A769" s="10"/>
    </row>
    <row r="770" spans="1:1" x14ac:dyDescent="0.35">
      <c r="A770" s="10"/>
    </row>
    <row r="771" spans="1:1" x14ac:dyDescent="0.35">
      <c r="A771" s="10"/>
    </row>
    <row r="772" spans="1:1" x14ac:dyDescent="0.35">
      <c r="A772" s="10"/>
    </row>
    <row r="773" spans="1:1" x14ac:dyDescent="0.35">
      <c r="A773" s="10"/>
    </row>
    <row r="774" spans="1:1" x14ac:dyDescent="0.35">
      <c r="A774" s="10"/>
    </row>
    <row r="775" spans="1:1" x14ac:dyDescent="0.35">
      <c r="A775" s="10"/>
    </row>
    <row r="776" spans="1:1" x14ac:dyDescent="0.35">
      <c r="A776" s="10"/>
    </row>
    <row r="777" spans="1:1" x14ac:dyDescent="0.35">
      <c r="A777" s="10"/>
    </row>
    <row r="778" spans="1:1" x14ac:dyDescent="0.35">
      <c r="A778" s="10"/>
    </row>
    <row r="779" spans="1:1" x14ac:dyDescent="0.35">
      <c r="A779" s="10"/>
    </row>
    <row r="780" spans="1:1" x14ac:dyDescent="0.35">
      <c r="A780" s="10"/>
    </row>
    <row r="781" spans="1:1" x14ac:dyDescent="0.35">
      <c r="A781" s="10"/>
    </row>
    <row r="782" spans="1:1" x14ac:dyDescent="0.35">
      <c r="A782" s="10"/>
    </row>
    <row r="783" spans="1:1" x14ac:dyDescent="0.35">
      <c r="A783" s="10"/>
    </row>
    <row r="784" spans="1:1" x14ac:dyDescent="0.35">
      <c r="A784" s="10"/>
    </row>
    <row r="785" spans="1:1" x14ac:dyDescent="0.35">
      <c r="A785" s="10"/>
    </row>
    <row r="786" spans="1:1" x14ac:dyDescent="0.35">
      <c r="A786" s="10"/>
    </row>
    <row r="787" spans="1:1" x14ac:dyDescent="0.35">
      <c r="A787" s="10"/>
    </row>
    <row r="788" spans="1:1" x14ac:dyDescent="0.35">
      <c r="A788" s="10"/>
    </row>
    <row r="789" spans="1:1" x14ac:dyDescent="0.35">
      <c r="A789" s="10"/>
    </row>
    <row r="790" spans="1:1" x14ac:dyDescent="0.35">
      <c r="A790" s="10"/>
    </row>
    <row r="791" spans="1:1" x14ac:dyDescent="0.35">
      <c r="A791" s="10"/>
    </row>
    <row r="792" spans="1:1" x14ac:dyDescent="0.35">
      <c r="A792" s="10"/>
    </row>
    <row r="793" spans="1:1" x14ac:dyDescent="0.35">
      <c r="A793" s="10"/>
    </row>
    <row r="794" spans="1:1" x14ac:dyDescent="0.35">
      <c r="A794" s="10"/>
    </row>
    <row r="795" spans="1:1" x14ac:dyDescent="0.35">
      <c r="A795" s="10"/>
    </row>
    <row r="796" spans="1:1" x14ac:dyDescent="0.35">
      <c r="A796" s="10"/>
    </row>
    <row r="797" spans="1:1" x14ac:dyDescent="0.35">
      <c r="A797" s="10"/>
    </row>
    <row r="798" spans="1:1" x14ac:dyDescent="0.35">
      <c r="A798" s="10"/>
    </row>
    <row r="799" spans="1:1" x14ac:dyDescent="0.35">
      <c r="A799" s="10"/>
    </row>
    <row r="800" spans="1:1" x14ac:dyDescent="0.35">
      <c r="A800" s="10"/>
    </row>
    <row r="801" spans="1:1" x14ac:dyDescent="0.35">
      <c r="A801" s="10"/>
    </row>
    <row r="802" spans="1:1" x14ac:dyDescent="0.35">
      <c r="A802" s="10"/>
    </row>
    <row r="803" spans="1:1" x14ac:dyDescent="0.35">
      <c r="A803" s="10"/>
    </row>
    <row r="804" spans="1:1" x14ac:dyDescent="0.35">
      <c r="A804" s="10"/>
    </row>
    <row r="805" spans="1:1" x14ac:dyDescent="0.35">
      <c r="A805" s="10"/>
    </row>
    <row r="806" spans="1:1" x14ac:dyDescent="0.35">
      <c r="A806" s="10"/>
    </row>
    <row r="807" spans="1:1" x14ac:dyDescent="0.35">
      <c r="A807" s="10"/>
    </row>
    <row r="808" spans="1:1" x14ac:dyDescent="0.35">
      <c r="A808" s="10"/>
    </row>
    <row r="809" spans="1:1" x14ac:dyDescent="0.35">
      <c r="A809" s="10"/>
    </row>
    <row r="810" spans="1:1" x14ac:dyDescent="0.35">
      <c r="A810" s="10"/>
    </row>
    <row r="811" spans="1:1" x14ac:dyDescent="0.35">
      <c r="A811" s="10"/>
    </row>
    <row r="812" spans="1:1" x14ac:dyDescent="0.35">
      <c r="A812" s="10"/>
    </row>
    <row r="813" spans="1:1" x14ac:dyDescent="0.35">
      <c r="A813" s="10"/>
    </row>
    <row r="814" spans="1:1" x14ac:dyDescent="0.35">
      <c r="A814" s="10"/>
    </row>
    <row r="815" spans="1:1" x14ac:dyDescent="0.35">
      <c r="A815" s="10"/>
    </row>
    <row r="816" spans="1:1" x14ac:dyDescent="0.35">
      <c r="A816" s="10"/>
    </row>
    <row r="817" spans="1:1" x14ac:dyDescent="0.35">
      <c r="A817" s="10"/>
    </row>
    <row r="818" spans="1:1" x14ac:dyDescent="0.35">
      <c r="A818" s="10"/>
    </row>
    <row r="819" spans="1:1" x14ac:dyDescent="0.35">
      <c r="A819" s="10"/>
    </row>
    <row r="820" spans="1:1" x14ac:dyDescent="0.35">
      <c r="A820" s="10"/>
    </row>
    <row r="821" spans="1:1" x14ac:dyDescent="0.35">
      <c r="A821" s="10"/>
    </row>
    <row r="822" spans="1:1" x14ac:dyDescent="0.35">
      <c r="A822" s="10"/>
    </row>
    <row r="823" spans="1:1" x14ac:dyDescent="0.35">
      <c r="A823" s="10"/>
    </row>
    <row r="824" spans="1:1" x14ac:dyDescent="0.35">
      <c r="A824" s="10"/>
    </row>
    <row r="825" spans="1:1" x14ac:dyDescent="0.35">
      <c r="A825" s="10"/>
    </row>
    <row r="826" spans="1:1" x14ac:dyDescent="0.35">
      <c r="A826" s="10"/>
    </row>
    <row r="827" spans="1:1" x14ac:dyDescent="0.35">
      <c r="A827" s="10"/>
    </row>
    <row r="828" spans="1:1" x14ac:dyDescent="0.35">
      <c r="A828" s="10"/>
    </row>
    <row r="829" spans="1:1" x14ac:dyDescent="0.35">
      <c r="A829" s="10"/>
    </row>
    <row r="830" spans="1:1" x14ac:dyDescent="0.35">
      <c r="A830" s="10"/>
    </row>
    <row r="831" spans="1:1" x14ac:dyDescent="0.35">
      <c r="A831" s="10"/>
    </row>
    <row r="832" spans="1:1" x14ac:dyDescent="0.35">
      <c r="A832" s="10"/>
    </row>
    <row r="833" spans="1:1" x14ac:dyDescent="0.35">
      <c r="A833" s="10"/>
    </row>
    <row r="834" spans="1:1" x14ac:dyDescent="0.35">
      <c r="A834" s="10"/>
    </row>
    <row r="835" spans="1:1" x14ac:dyDescent="0.35">
      <c r="A835" s="10"/>
    </row>
    <row r="836" spans="1:1" x14ac:dyDescent="0.35">
      <c r="A836" s="10"/>
    </row>
    <row r="837" spans="1:1" x14ac:dyDescent="0.35">
      <c r="A837" s="10"/>
    </row>
    <row r="838" spans="1:1" x14ac:dyDescent="0.35">
      <c r="A838" s="10"/>
    </row>
    <row r="839" spans="1:1" x14ac:dyDescent="0.35">
      <c r="A839" s="10"/>
    </row>
    <row r="840" spans="1:1" x14ac:dyDescent="0.35">
      <c r="A840" s="10"/>
    </row>
    <row r="841" spans="1:1" x14ac:dyDescent="0.35">
      <c r="A841" s="10"/>
    </row>
    <row r="842" spans="1:1" x14ac:dyDescent="0.35">
      <c r="A842" s="10"/>
    </row>
    <row r="843" spans="1:1" x14ac:dyDescent="0.35">
      <c r="A843" s="10"/>
    </row>
    <row r="844" spans="1:1" x14ac:dyDescent="0.35">
      <c r="A844" s="10"/>
    </row>
    <row r="845" spans="1:1" x14ac:dyDescent="0.35">
      <c r="A845" s="10"/>
    </row>
    <row r="846" spans="1:1" x14ac:dyDescent="0.35">
      <c r="A846" s="10"/>
    </row>
    <row r="847" spans="1:1" x14ac:dyDescent="0.35">
      <c r="A847" s="10"/>
    </row>
    <row r="848" spans="1:1" x14ac:dyDescent="0.35">
      <c r="A848" s="10"/>
    </row>
    <row r="849" spans="1:1" x14ac:dyDescent="0.35">
      <c r="A849" s="10"/>
    </row>
    <row r="850" spans="1:1" x14ac:dyDescent="0.35">
      <c r="A850" s="10"/>
    </row>
    <row r="851" spans="1:1" x14ac:dyDescent="0.35">
      <c r="A851" s="10"/>
    </row>
    <row r="852" spans="1:1" x14ac:dyDescent="0.35">
      <c r="A852" s="10"/>
    </row>
    <row r="853" spans="1:1" x14ac:dyDescent="0.35">
      <c r="A853" s="10"/>
    </row>
    <row r="854" spans="1:1" x14ac:dyDescent="0.35">
      <c r="A854" s="10"/>
    </row>
    <row r="855" spans="1:1" x14ac:dyDescent="0.35">
      <c r="A855" s="10"/>
    </row>
    <row r="856" spans="1:1" x14ac:dyDescent="0.35">
      <c r="A856" s="10"/>
    </row>
    <row r="857" spans="1:1" x14ac:dyDescent="0.35">
      <c r="A857" s="10"/>
    </row>
    <row r="858" spans="1:1" x14ac:dyDescent="0.35">
      <c r="A858" s="10"/>
    </row>
    <row r="859" spans="1:1" x14ac:dyDescent="0.35">
      <c r="A859" s="10"/>
    </row>
    <row r="860" spans="1:1" x14ac:dyDescent="0.35">
      <c r="A860" s="10"/>
    </row>
    <row r="861" spans="1:1" x14ac:dyDescent="0.35">
      <c r="A861" s="10"/>
    </row>
    <row r="862" spans="1:1" x14ac:dyDescent="0.35">
      <c r="A862" s="10"/>
    </row>
    <row r="863" spans="1:1" x14ac:dyDescent="0.35">
      <c r="A863" s="10"/>
    </row>
    <row r="864" spans="1:1" x14ac:dyDescent="0.35">
      <c r="A864" s="10"/>
    </row>
    <row r="865" spans="1:1" x14ac:dyDescent="0.35">
      <c r="A865" s="10"/>
    </row>
    <row r="866" spans="1:1" x14ac:dyDescent="0.35">
      <c r="A866" s="10"/>
    </row>
    <row r="867" spans="1:1" x14ac:dyDescent="0.35">
      <c r="A867" s="10"/>
    </row>
    <row r="868" spans="1:1" x14ac:dyDescent="0.35">
      <c r="A868" s="10"/>
    </row>
    <row r="869" spans="1:1" x14ac:dyDescent="0.35">
      <c r="A869" s="10"/>
    </row>
    <row r="870" spans="1:1" x14ac:dyDescent="0.35">
      <c r="A870" s="10"/>
    </row>
    <row r="871" spans="1:1" x14ac:dyDescent="0.35">
      <c r="A871" s="10"/>
    </row>
    <row r="872" spans="1:1" x14ac:dyDescent="0.35">
      <c r="A872" s="10"/>
    </row>
    <row r="873" spans="1:1" x14ac:dyDescent="0.35">
      <c r="A873" s="10"/>
    </row>
    <row r="874" spans="1:1" x14ac:dyDescent="0.35">
      <c r="A874" s="10"/>
    </row>
    <row r="875" spans="1:1" x14ac:dyDescent="0.35">
      <c r="A875" s="10"/>
    </row>
    <row r="876" spans="1:1" x14ac:dyDescent="0.35">
      <c r="A876" s="10"/>
    </row>
    <row r="877" spans="1:1" x14ac:dyDescent="0.35">
      <c r="A877" s="10"/>
    </row>
    <row r="878" spans="1:1" x14ac:dyDescent="0.35">
      <c r="A878" s="10"/>
    </row>
    <row r="879" spans="1:1" x14ac:dyDescent="0.35">
      <c r="A879" s="10"/>
    </row>
    <row r="880" spans="1:1" x14ac:dyDescent="0.35">
      <c r="A880" s="10"/>
    </row>
    <row r="881" spans="1:1" x14ac:dyDescent="0.35">
      <c r="A881" s="10"/>
    </row>
    <row r="882" spans="1:1" x14ac:dyDescent="0.35">
      <c r="A882" s="10"/>
    </row>
    <row r="883" spans="1:1" x14ac:dyDescent="0.35">
      <c r="A883" s="10"/>
    </row>
    <row r="884" spans="1:1" x14ac:dyDescent="0.35">
      <c r="A884" s="10"/>
    </row>
    <row r="885" spans="1:1" x14ac:dyDescent="0.35">
      <c r="A885" s="10"/>
    </row>
    <row r="886" spans="1:1" x14ac:dyDescent="0.35">
      <c r="A886" s="10"/>
    </row>
    <row r="887" spans="1:1" x14ac:dyDescent="0.35">
      <c r="A887" s="10"/>
    </row>
    <row r="888" spans="1:1" x14ac:dyDescent="0.35">
      <c r="A888" s="10"/>
    </row>
    <row r="889" spans="1:1" x14ac:dyDescent="0.35">
      <c r="A889" s="10"/>
    </row>
    <row r="890" spans="1:1" x14ac:dyDescent="0.35">
      <c r="A890" s="10"/>
    </row>
    <row r="891" spans="1:1" x14ac:dyDescent="0.35">
      <c r="A891" s="10"/>
    </row>
    <row r="892" spans="1:1" x14ac:dyDescent="0.35">
      <c r="A892" s="10"/>
    </row>
    <row r="893" spans="1:1" x14ac:dyDescent="0.35">
      <c r="A893" s="10"/>
    </row>
    <row r="894" spans="1:1" x14ac:dyDescent="0.35">
      <c r="A894" s="10"/>
    </row>
    <row r="895" spans="1:1" x14ac:dyDescent="0.35">
      <c r="A895" s="10"/>
    </row>
    <row r="896" spans="1:1" x14ac:dyDescent="0.35">
      <c r="A896" s="10"/>
    </row>
    <row r="897" spans="1:1" x14ac:dyDescent="0.35">
      <c r="A897" s="10"/>
    </row>
    <row r="898" spans="1:1" x14ac:dyDescent="0.35">
      <c r="A898" s="10"/>
    </row>
    <row r="899" spans="1:1" x14ac:dyDescent="0.35">
      <c r="A899" s="10"/>
    </row>
    <row r="900" spans="1:1" x14ac:dyDescent="0.35">
      <c r="A900" s="10"/>
    </row>
    <row r="901" spans="1:1" x14ac:dyDescent="0.35">
      <c r="A901" s="10"/>
    </row>
    <row r="902" spans="1:1" x14ac:dyDescent="0.35">
      <c r="A902" s="10"/>
    </row>
    <row r="903" spans="1:1" x14ac:dyDescent="0.35">
      <c r="A903" s="10"/>
    </row>
    <row r="904" spans="1:1" x14ac:dyDescent="0.35">
      <c r="A904" s="10"/>
    </row>
    <row r="905" spans="1:1" x14ac:dyDescent="0.35">
      <c r="A905" s="10"/>
    </row>
    <row r="906" spans="1:1" x14ac:dyDescent="0.35">
      <c r="A906" s="10"/>
    </row>
    <row r="907" spans="1:1" x14ac:dyDescent="0.35">
      <c r="A907" s="10"/>
    </row>
    <row r="908" spans="1:1" x14ac:dyDescent="0.35">
      <c r="A908" s="10"/>
    </row>
    <row r="909" spans="1:1" x14ac:dyDescent="0.35">
      <c r="A909" s="10"/>
    </row>
    <row r="910" spans="1:1" x14ac:dyDescent="0.35">
      <c r="A910" s="10"/>
    </row>
    <row r="911" spans="1:1" x14ac:dyDescent="0.35">
      <c r="A911" s="10"/>
    </row>
    <row r="912" spans="1:1" x14ac:dyDescent="0.35">
      <c r="A912" s="10"/>
    </row>
    <row r="913" spans="1:1" x14ac:dyDescent="0.35">
      <c r="A913" s="10"/>
    </row>
    <row r="914" spans="1:1" x14ac:dyDescent="0.35">
      <c r="A914" s="10"/>
    </row>
    <row r="915" spans="1:1" x14ac:dyDescent="0.35">
      <c r="A915" s="10"/>
    </row>
    <row r="916" spans="1:1" x14ac:dyDescent="0.35">
      <c r="A916" s="10"/>
    </row>
    <row r="917" spans="1:1" x14ac:dyDescent="0.35">
      <c r="A917" s="10"/>
    </row>
    <row r="918" spans="1:1" x14ac:dyDescent="0.35">
      <c r="A918" s="10"/>
    </row>
    <row r="919" spans="1:1" x14ac:dyDescent="0.35">
      <c r="A919" s="10"/>
    </row>
    <row r="920" spans="1:1" x14ac:dyDescent="0.35">
      <c r="A920" s="10"/>
    </row>
    <row r="921" spans="1:1" x14ac:dyDescent="0.35">
      <c r="A921" s="10"/>
    </row>
    <row r="922" spans="1:1" x14ac:dyDescent="0.35">
      <c r="A922" s="10"/>
    </row>
    <row r="923" spans="1:1" x14ac:dyDescent="0.35">
      <c r="A923" s="10"/>
    </row>
    <row r="924" spans="1:1" x14ac:dyDescent="0.35">
      <c r="A924" s="10"/>
    </row>
    <row r="925" spans="1:1" x14ac:dyDescent="0.35">
      <c r="A925" s="10"/>
    </row>
    <row r="926" spans="1:1" x14ac:dyDescent="0.35">
      <c r="A926" s="10"/>
    </row>
    <row r="927" spans="1:1" x14ac:dyDescent="0.35">
      <c r="A927" s="10"/>
    </row>
    <row r="928" spans="1:1" x14ac:dyDescent="0.35">
      <c r="A928" s="10"/>
    </row>
    <row r="929" spans="1:1" x14ac:dyDescent="0.35">
      <c r="A929" s="10"/>
    </row>
    <row r="930" spans="1:1" x14ac:dyDescent="0.35">
      <c r="A930" s="10"/>
    </row>
    <row r="931" spans="1:1" x14ac:dyDescent="0.35">
      <c r="A931" s="10"/>
    </row>
    <row r="932" spans="1:1" x14ac:dyDescent="0.35">
      <c r="A932" s="10"/>
    </row>
    <row r="933" spans="1:1" x14ac:dyDescent="0.35">
      <c r="A933" s="10"/>
    </row>
    <row r="934" spans="1:1" x14ac:dyDescent="0.35">
      <c r="A934" s="10"/>
    </row>
    <row r="935" spans="1:1" x14ac:dyDescent="0.35">
      <c r="A935" s="10"/>
    </row>
    <row r="936" spans="1:1" x14ac:dyDescent="0.35">
      <c r="A936" s="10"/>
    </row>
    <row r="937" spans="1:1" x14ac:dyDescent="0.35">
      <c r="A937" s="10"/>
    </row>
    <row r="938" spans="1:1" x14ac:dyDescent="0.35">
      <c r="A938" s="10"/>
    </row>
    <row r="939" spans="1:1" x14ac:dyDescent="0.35">
      <c r="A939" s="10"/>
    </row>
    <row r="940" spans="1:1" x14ac:dyDescent="0.35">
      <c r="A940" s="10"/>
    </row>
    <row r="941" spans="1:1" x14ac:dyDescent="0.35">
      <c r="A941" s="10"/>
    </row>
    <row r="942" spans="1:1" x14ac:dyDescent="0.35">
      <c r="A942" s="10"/>
    </row>
    <row r="943" spans="1:1" x14ac:dyDescent="0.35">
      <c r="A943" s="10"/>
    </row>
    <row r="944" spans="1:1" x14ac:dyDescent="0.35">
      <c r="A944" s="10"/>
    </row>
    <row r="945" spans="1:1" x14ac:dyDescent="0.35">
      <c r="A945" s="10"/>
    </row>
    <row r="946" spans="1:1" x14ac:dyDescent="0.35">
      <c r="A946" s="10"/>
    </row>
    <row r="947" spans="1:1" x14ac:dyDescent="0.35">
      <c r="A947" s="10"/>
    </row>
    <row r="948" spans="1:1" x14ac:dyDescent="0.35">
      <c r="A948" s="10"/>
    </row>
    <row r="949" spans="1:1" x14ac:dyDescent="0.35">
      <c r="A949" s="10"/>
    </row>
    <row r="950" spans="1:1" x14ac:dyDescent="0.35">
      <c r="A950" s="10"/>
    </row>
    <row r="951" spans="1:1" x14ac:dyDescent="0.35">
      <c r="A951" s="10"/>
    </row>
    <row r="952" spans="1:1" x14ac:dyDescent="0.35">
      <c r="A952" s="10"/>
    </row>
    <row r="953" spans="1:1" x14ac:dyDescent="0.35">
      <c r="A953" s="10"/>
    </row>
    <row r="954" spans="1:1" x14ac:dyDescent="0.35">
      <c r="A954" s="10"/>
    </row>
    <row r="955" spans="1:1" x14ac:dyDescent="0.35">
      <c r="A955" s="10"/>
    </row>
    <row r="956" spans="1:1" x14ac:dyDescent="0.35">
      <c r="A956" s="10"/>
    </row>
    <row r="957" spans="1:1" x14ac:dyDescent="0.35">
      <c r="A957" s="10"/>
    </row>
    <row r="958" spans="1:1" x14ac:dyDescent="0.35">
      <c r="A958" s="10"/>
    </row>
    <row r="959" spans="1:1" x14ac:dyDescent="0.35">
      <c r="A959" s="10"/>
    </row>
    <row r="960" spans="1:1" x14ac:dyDescent="0.35">
      <c r="A960" s="10"/>
    </row>
    <row r="961" spans="1:1" x14ac:dyDescent="0.35">
      <c r="A961" s="10"/>
    </row>
    <row r="962" spans="1:1" x14ac:dyDescent="0.35">
      <c r="A962" s="10"/>
    </row>
    <row r="963" spans="1:1" x14ac:dyDescent="0.35">
      <c r="A963" s="10"/>
    </row>
    <row r="964" spans="1:1" x14ac:dyDescent="0.35">
      <c r="A964" s="10"/>
    </row>
    <row r="965" spans="1:1" x14ac:dyDescent="0.35">
      <c r="A965" s="10"/>
    </row>
    <row r="966" spans="1:1" x14ac:dyDescent="0.35">
      <c r="A966" s="10"/>
    </row>
    <row r="967" spans="1:1" x14ac:dyDescent="0.35">
      <c r="A967" s="10"/>
    </row>
    <row r="968" spans="1:1" x14ac:dyDescent="0.35">
      <c r="A968" s="10"/>
    </row>
    <row r="969" spans="1:1" x14ac:dyDescent="0.35">
      <c r="A969" s="10"/>
    </row>
    <row r="970" spans="1:1" x14ac:dyDescent="0.35">
      <c r="A970" s="10"/>
    </row>
    <row r="971" spans="1:1" x14ac:dyDescent="0.35">
      <c r="A971" s="10"/>
    </row>
    <row r="972" spans="1:1" x14ac:dyDescent="0.35">
      <c r="A972" s="10"/>
    </row>
    <row r="973" spans="1:1" x14ac:dyDescent="0.35">
      <c r="A973" s="10"/>
    </row>
    <row r="974" spans="1:1" x14ac:dyDescent="0.35">
      <c r="A974" s="10"/>
    </row>
    <row r="975" spans="1:1" x14ac:dyDescent="0.35">
      <c r="A975" s="10"/>
    </row>
    <row r="976" spans="1:1" x14ac:dyDescent="0.35">
      <c r="A976" s="10"/>
    </row>
    <row r="977" spans="1:1" x14ac:dyDescent="0.35">
      <c r="A977" s="10"/>
    </row>
    <row r="978" spans="1:1" x14ac:dyDescent="0.35">
      <c r="A978" s="10"/>
    </row>
    <row r="979" spans="1:1" x14ac:dyDescent="0.35">
      <c r="A979" s="10"/>
    </row>
    <row r="980" spans="1:1" x14ac:dyDescent="0.35">
      <c r="A980" s="10"/>
    </row>
    <row r="981" spans="1:1" x14ac:dyDescent="0.35">
      <c r="A981" s="10"/>
    </row>
    <row r="982" spans="1:1" x14ac:dyDescent="0.35">
      <c r="A982" s="10"/>
    </row>
    <row r="983" spans="1:1" x14ac:dyDescent="0.35">
      <c r="A983" s="10"/>
    </row>
    <row r="984" spans="1:1" x14ac:dyDescent="0.35">
      <c r="A984" s="10"/>
    </row>
    <row r="985" spans="1:1" x14ac:dyDescent="0.35">
      <c r="A985" s="10"/>
    </row>
    <row r="986" spans="1:1" x14ac:dyDescent="0.35">
      <c r="A986" s="10"/>
    </row>
    <row r="987" spans="1:1" x14ac:dyDescent="0.35">
      <c r="A987" s="10"/>
    </row>
    <row r="988" spans="1:1" x14ac:dyDescent="0.35">
      <c r="A988" s="10"/>
    </row>
    <row r="989" spans="1:1" x14ac:dyDescent="0.35">
      <c r="A989" s="10"/>
    </row>
    <row r="990" spans="1:1" x14ac:dyDescent="0.35">
      <c r="A990" s="10"/>
    </row>
    <row r="991" spans="1:1" x14ac:dyDescent="0.35">
      <c r="A991" s="10"/>
    </row>
    <row r="992" spans="1:1" x14ac:dyDescent="0.35">
      <c r="A992" s="10"/>
    </row>
    <row r="993" spans="1:1" x14ac:dyDescent="0.35">
      <c r="A993" s="10"/>
    </row>
    <row r="994" spans="1:1" x14ac:dyDescent="0.35">
      <c r="A994" s="10"/>
    </row>
    <row r="995" spans="1:1" x14ac:dyDescent="0.35">
      <c r="A995" s="10"/>
    </row>
    <row r="996" spans="1:1" x14ac:dyDescent="0.35">
      <c r="A996" s="10"/>
    </row>
    <row r="997" spans="1:1" x14ac:dyDescent="0.35">
      <c r="A997" s="10"/>
    </row>
    <row r="998" spans="1:1" x14ac:dyDescent="0.35">
      <c r="A998" s="10"/>
    </row>
    <row r="999" spans="1:1" x14ac:dyDescent="0.35">
      <c r="A999" s="10"/>
    </row>
    <row r="1000" spans="1:1" x14ac:dyDescent="0.35">
      <c r="A1000" s="10"/>
    </row>
    <row r="1001" spans="1:1" x14ac:dyDescent="0.35">
      <c r="A1001" s="10"/>
    </row>
    <row r="1002" spans="1:1" x14ac:dyDescent="0.35">
      <c r="A1002" s="10"/>
    </row>
    <row r="1003" spans="1:1" x14ac:dyDescent="0.35">
      <c r="A1003" s="10"/>
    </row>
    <row r="1004" spans="1:1" x14ac:dyDescent="0.35">
      <c r="A1004" s="10"/>
    </row>
    <row r="1005" spans="1:1" x14ac:dyDescent="0.35">
      <c r="A1005" s="10"/>
    </row>
    <row r="1006" spans="1:1" x14ac:dyDescent="0.35">
      <c r="A1006" s="10"/>
    </row>
    <row r="1007" spans="1:1" x14ac:dyDescent="0.35">
      <c r="A1007" s="10"/>
    </row>
    <row r="1008" spans="1:1" x14ac:dyDescent="0.35">
      <c r="A1008" s="10"/>
    </row>
    <row r="1009" spans="1:1" x14ac:dyDescent="0.35">
      <c r="A1009" s="10"/>
    </row>
    <row r="1010" spans="1:1" x14ac:dyDescent="0.35">
      <c r="A1010" s="10"/>
    </row>
    <row r="1011" spans="1:1" x14ac:dyDescent="0.35">
      <c r="A1011" s="10"/>
    </row>
    <row r="1012" spans="1:1" x14ac:dyDescent="0.35">
      <c r="A1012" s="10"/>
    </row>
    <row r="1013" spans="1:1" x14ac:dyDescent="0.35">
      <c r="A1013" s="10"/>
    </row>
    <row r="1014" spans="1:1" x14ac:dyDescent="0.35">
      <c r="A1014" s="10"/>
    </row>
    <row r="1015" spans="1:1" x14ac:dyDescent="0.35">
      <c r="A1015" s="10"/>
    </row>
    <row r="1016" spans="1:1" x14ac:dyDescent="0.35">
      <c r="A1016" s="10"/>
    </row>
    <row r="1017" spans="1:1" x14ac:dyDescent="0.35">
      <c r="A1017" s="10"/>
    </row>
    <row r="1018" spans="1:1" x14ac:dyDescent="0.35">
      <c r="A1018" s="10"/>
    </row>
    <row r="1019" spans="1:1" x14ac:dyDescent="0.35">
      <c r="A1019" s="10"/>
    </row>
    <row r="1020" spans="1:1" x14ac:dyDescent="0.35">
      <c r="A1020" s="10"/>
    </row>
    <row r="1021" spans="1:1" x14ac:dyDescent="0.35">
      <c r="A1021" s="10"/>
    </row>
    <row r="1022" spans="1:1" x14ac:dyDescent="0.35">
      <c r="A1022" s="10"/>
    </row>
    <row r="1023" spans="1:1" x14ac:dyDescent="0.35">
      <c r="A1023" s="10"/>
    </row>
    <row r="1024" spans="1:1" x14ac:dyDescent="0.35">
      <c r="A1024" s="10"/>
    </row>
    <row r="1025" spans="1:1" x14ac:dyDescent="0.35">
      <c r="A1025" s="10"/>
    </row>
    <row r="1026" spans="1:1" x14ac:dyDescent="0.35">
      <c r="A1026" s="10"/>
    </row>
    <row r="1027" spans="1:1" x14ac:dyDescent="0.35">
      <c r="A1027" s="10"/>
    </row>
    <row r="1028" spans="1:1" x14ac:dyDescent="0.35">
      <c r="A1028" s="10"/>
    </row>
    <row r="1029" spans="1:1" x14ac:dyDescent="0.35">
      <c r="A1029" s="10"/>
    </row>
    <row r="1030" spans="1:1" x14ac:dyDescent="0.35">
      <c r="A1030" s="10"/>
    </row>
    <row r="1031" spans="1:1" x14ac:dyDescent="0.35">
      <c r="A1031" s="10"/>
    </row>
    <row r="1032" spans="1:1" x14ac:dyDescent="0.35">
      <c r="A1032" s="10"/>
    </row>
    <row r="1033" spans="1:1" x14ac:dyDescent="0.35">
      <c r="A1033" s="10"/>
    </row>
    <row r="1034" spans="1:1" x14ac:dyDescent="0.35">
      <c r="A1034" s="10"/>
    </row>
    <row r="1035" spans="1:1" x14ac:dyDescent="0.35">
      <c r="A1035" s="10"/>
    </row>
    <row r="1036" spans="1:1" x14ac:dyDescent="0.35">
      <c r="A1036" s="10"/>
    </row>
    <row r="1037" spans="1:1" x14ac:dyDescent="0.35">
      <c r="A1037" s="10"/>
    </row>
    <row r="1038" spans="1:1" x14ac:dyDescent="0.35">
      <c r="A1038" s="10"/>
    </row>
    <row r="1039" spans="1:1" x14ac:dyDescent="0.35">
      <c r="A1039" s="10"/>
    </row>
    <row r="1040" spans="1:1" x14ac:dyDescent="0.35">
      <c r="A1040" s="10"/>
    </row>
    <row r="1041" spans="1:1" x14ac:dyDescent="0.35">
      <c r="A1041" s="10"/>
    </row>
    <row r="1042" spans="1:1" x14ac:dyDescent="0.35">
      <c r="A1042" s="10"/>
    </row>
    <row r="1043" spans="1:1" x14ac:dyDescent="0.35">
      <c r="A1043" s="10"/>
    </row>
    <row r="1044" spans="1:1" x14ac:dyDescent="0.35">
      <c r="A1044" s="10"/>
    </row>
    <row r="1045" spans="1:1" x14ac:dyDescent="0.35">
      <c r="A1045" s="10"/>
    </row>
    <row r="1046" spans="1:1" x14ac:dyDescent="0.35">
      <c r="A1046" s="10"/>
    </row>
    <row r="1047" spans="1:1" x14ac:dyDescent="0.35">
      <c r="A1047" s="10"/>
    </row>
    <row r="1048" spans="1:1" x14ac:dyDescent="0.35">
      <c r="A1048" s="10"/>
    </row>
    <row r="1049" spans="1:1" x14ac:dyDescent="0.35">
      <c r="A1049" s="10"/>
    </row>
    <row r="1050" spans="1:1" x14ac:dyDescent="0.35">
      <c r="A1050" s="10"/>
    </row>
    <row r="1051" spans="1:1" x14ac:dyDescent="0.35">
      <c r="A1051" s="10"/>
    </row>
    <row r="1052" spans="1:1" x14ac:dyDescent="0.35">
      <c r="A1052" s="10"/>
    </row>
    <row r="1053" spans="1:1" x14ac:dyDescent="0.35">
      <c r="A1053" s="10"/>
    </row>
    <row r="1054" spans="1:1" x14ac:dyDescent="0.35">
      <c r="A1054" s="10"/>
    </row>
    <row r="1055" spans="1:1" x14ac:dyDescent="0.35">
      <c r="A1055" s="10"/>
    </row>
    <row r="1056" spans="1:1" x14ac:dyDescent="0.35">
      <c r="A1056" s="10"/>
    </row>
    <row r="1057" spans="1:1" x14ac:dyDescent="0.35">
      <c r="A1057" s="10"/>
    </row>
    <row r="1058" spans="1:1" x14ac:dyDescent="0.35">
      <c r="A1058" s="10"/>
    </row>
    <row r="1059" spans="1:1" x14ac:dyDescent="0.35">
      <c r="A1059" s="10"/>
    </row>
    <row r="1060" spans="1:1" x14ac:dyDescent="0.35">
      <c r="A1060" s="10"/>
    </row>
    <row r="1061" spans="1:1" x14ac:dyDescent="0.35">
      <c r="A1061" s="10"/>
    </row>
    <row r="1062" spans="1:1" x14ac:dyDescent="0.35">
      <c r="A1062" s="10"/>
    </row>
    <row r="1063" spans="1:1" x14ac:dyDescent="0.35">
      <c r="A1063" s="10"/>
    </row>
    <row r="1064" spans="1:1" x14ac:dyDescent="0.35">
      <c r="A1064" s="10"/>
    </row>
    <row r="1065" spans="1:1" x14ac:dyDescent="0.35">
      <c r="A1065" s="10"/>
    </row>
    <row r="1066" spans="1:1" x14ac:dyDescent="0.35">
      <c r="A1066" s="10"/>
    </row>
    <row r="1067" spans="1:1" x14ac:dyDescent="0.35">
      <c r="A1067" s="10"/>
    </row>
    <row r="1068" spans="1:1" x14ac:dyDescent="0.35">
      <c r="A1068" s="10"/>
    </row>
    <row r="1069" spans="1:1" x14ac:dyDescent="0.35">
      <c r="A1069" s="10"/>
    </row>
    <row r="1070" spans="1:1" x14ac:dyDescent="0.35">
      <c r="A1070" s="10"/>
    </row>
    <row r="1071" spans="1:1" x14ac:dyDescent="0.35">
      <c r="A1071" s="10"/>
    </row>
    <row r="1072" spans="1:1" x14ac:dyDescent="0.35">
      <c r="A1072" s="10"/>
    </row>
    <row r="1073" spans="1:1" x14ac:dyDescent="0.35">
      <c r="A1073" s="10"/>
    </row>
    <row r="1074" spans="1:1" x14ac:dyDescent="0.35">
      <c r="A1074" s="10"/>
    </row>
    <row r="1075" spans="1:1" x14ac:dyDescent="0.35">
      <c r="A1075" s="10"/>
    </row>
    <row r="1076" spans="1:1" x14ac:dyDescent="0.35">
      <c r="A1076" s="10"/>
    </row>
    <row r="1077" spans="1:1" x14ac:dyDescent="0.35">
      <c r="A1077" s="10"/>
    </row>
    <row r="1078" spans="1:1" x14ac:dyDescent="0.35">
      <c r="A1078" s="10"/>
    </row>
    <row r="1079" spans="1:1" x14ac:dyDescent="0.35">
      <c r="A1079" s="10"/>
    </row>
    <row r="1080" spans="1:1" x14ac:dyDescent="0.35">
      <c r="A1080" s="10"/>
    </row>
    <row r="1081" spans="1:1" x14ac:dyDescent="0.35">
      <c r="A1081" s="10"/>
    </row>
    <row r="1082" spans="1:1" x14ac:dyDescent="0.35">
      <c r="A1082" s="10"/>
    </row>
    <row r="1083" spans="1:1" x14ac:dyDescent="0.35">
      <c r="A1083" s="10"/>
    </row>
    <row r="1084" spans="1:1" x14ac:dyDescent="0.35">
      <c r="A1084" s="10"/>
    </row>
    <row r="1085" spans="1:1" x14ac:dyDescent="0.35">
      <c r="A1085" s="10"/>
    </row>
    <row r="1086" spans="1:1" x14ac:dyDescent="0.35">
      <c r="A1086" s="10"/>
    </row>
    <row r="1087" spans="1:1" x14ac:dyDescent="0.35">
      <c r="A1087" s="10"/>
    </row>
    <row r="1088" spans="1:1" x14ac:dyDescent="0.35">
      <c r="A1088" s="10"/>
    </row>
    <row r="1089" spans="1:1" x14ac:dyDescent="0.35">
      <c r="A1089" s="10"/>
    </row>
    <row r="1090" spans="1:1" x14ac:dyDescent="0.35">
      <c r="A1090" s="10"/>
    </row>
    <row r="1091" spans="1:1" x14ac:dyDescent="0.35">
      <c r="A1091" s="10"/>
    </row>
    <row r="1092" spans="1:1" x14ac:dyDescent="0.35">
      <c r="A1092" s="10"/>
    </row>
    <row r="1093" spans="1:1" x14ac:dyDescent="0.35">
      <c r="A1093" s="10"/>
    </row>
    <row r="1094" spans="1:1" x14ac:dyDescent="0.35">
      <c r="A1094" s="10"/>
    </row>
    <row r="1095" spans="1:1" x14ac:dyDescent="0.35">
      <c r="A1095" s="10"/>
    </row>
    <row r="1096" spans="1:1" x14ac:dyDescent="0.35">
      <c r="A1096" s="10"/>
    </row>
    <row r="1097" spans="1:1" x14ac:dyDescent="0.35">
      <c r="A1097" s="10"/>
    </row>
    <row r="1098" spans="1:1" x14ac:dyDescent="0.35">
      <c r="A1098" s="10"/>
    </row>
    <row r="1099" spans="1:1" x14ac:dyDescent="0.35">
      <c r="A1099" s="10"/>
    </row>
    <row r="1100" spans="1:1" x14ac:dyDescent="0.35">
      <c r="A11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Task Tracker</vt:lpstr>
      <vt:lpstr>Milestones</vt:lpstr>
      <vt:lpstr>Risks &amp; Issues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(share)</dc:creator>
  <cp:lastModifiedBy>Product (share)</cp:lastModifiedBy>
  <dcterms:created xsi:type="dcterms:W3CDTF">2026-07-21T03:19:31Z</dcterms:created>
  <dcterms:modified xsi:type="dcterms:W3CDTF">2026-07-21T11:11:02Z</dcterms:modified>
</cp:coreProperties>
</file>